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@Artifact_Generation\108_AAISE_Details\10-152-117_Python_Programming\"/>
    </mc:Choice>
  </mc:AlternateContent>
  <xr:revisionPtr revIDLastSave="0" documentId="13_ncr:1_{1DAA78DD-5CFF-4409-A9DF-B0C269D5A4D7}" xr6:coauthVersionLast="47" xr6:coauthVersionMax="47" xr10:uidLastSave="{00000000-0000-0000-0000-000000000000}"/>
  <bookViews>
    <workbookView xWindow="33810" yWindow="4665" windowWidth="21600" windowHeight="13500" firstSheet="7" activeTab="7" xr2:uid="{0CAE7D91-234A-4AC5-A9FA-A7EDDDFE26D9}"/>
  </bookViews>
  <sheets>
    <sheet name="Rubric" sheetId="2" r:id="rId1"/>
    <sheet name="Template" sheetId="1" r:id="rId2"/>
    <sheet name="A1 (1)" sheetId="5" r:id="rId3"/>
    <sheet name="A2 (2-M)" sheetId="3" r:id="rId4"/>
    <sheet name="A3 (2-T)" sheetId="4" r:id="rId5"/>
    <sheet name="A4 (3-M)" sheetId="7" r:id="rId6"/>
    <sheet name="A5 (3-T)" sheetId="8" r:id="rId7"/>
    <sheet name="A6 (4-M)" sheetId="9" r:id="rId8"/>
    <sheet name="A7 (4-T)" sheetId="10" r:id="rId9"/>
    <sheet name="A8 (5-M)" sheetId="12" r:id="rId10"/>
    <sheet name="A9 (5-T)" sheetId="13" r:id="rId11"/>
    <sheet name="A10 (5-Th)" sheetId="14" r:id="rId12"/>
    <sheet name="A11 (6-M)" sheetId="11" r:id="rId13"/>
    <sheet name="A12 (6-Th)" sheetId="6" r:id="rId14"/>
    <sheet name="A13 (7-M)" sheetId="15" r:id="rId15"/>
    <sheet name="A14 (7-T)" sheetId="16" r:id="rId16"/>
    <sheet name="Cap Buld (8-T)" sheetId="18" r:id="rId17"/>
    <sheet name="Cap Pres (8-Th)" sheetId="1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5" i="19" l="1"/>
  <c r="E25" i="18"/>
  <c r="E26" i="18" s="1" a="1"/>
  <c r="E26" i="18" s="1"/>
  <c r="E25" i="16"/>
  <c r="E25" i="15"/>
  <c r="E25" i="6"/>
  <c r="E25" i="11"/>
  <c r="E25" i="14"/>
  <c r="E25" i="13"/>
  <c r="E25" i="12"/>
  <c r="E25" i="10"/>
  <c r="E25" i="9"/>
  <c r="E25" i="8"/>
  <c r="E25" i="5"/>
  <c r="E25" i="3"/>
  <c r="E25" i="4"/>
  <c r="E25" i="7"/>
  <c r="M25" i="19"/>
  <c r="M26" i="19" s="1" a="1"/>
  <c r="M26" i="19" s="1"/>
  <c r="L25" i="19"/>
  <c r="L26" i="19" s="1" a="1"/>
  <c r="L26" i="19" s="1"/>
  <c r="K25" i="19"/>
  <c r="K26" i="19" s="1" a="1"/>
  <c r="K26" i="19" s="1"/>
  <c r="J25" i="19"/>
  <c r="J26" i="19" s="1" a="1"/>
  <c r="J26" i="19" s="1"/>
  <c r="I25" i="19"/>
  <c r="I26" i="19" s="1" a="1"/>
  <c r="I26" i="19" s="1"/>
  <c r="H25" i="19"/>
  <c r="H26" i="19" s="1" a="1"/>
  <c r="H26" i="19" s="1"/>
  <c r="G25" i="19"/>
  <c r="G26" i="19" s="1" a="1"/>
  <c r="G26" i="19" s="1"/>
  <c r="F25" i="19"/>
  <c r="F26" i="19" s="1" a="1"/>
  <c r="F26" i="19" s="1"/>
  <c r="E26" i="19" a="1"/>
  <c r="E26" i="19" s="1"/>
  <c r="D25" i="19"/>
  <c r="D26" i="19" s="1" a="1"/>
  <c r="D26" i="19" s="1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M25" i="18"/>
  <c r="M26" i="18" s="1" a="1"/>
  <c r="M26" i="18" s="1"/>
  <c r="L25" i="18"/>
  <c r="L26" i="18" s="1" a="1"/>
  <c r="L26" i="18" s="1"/>
  <c r="K25" i="18"/>
  <c r="K26" i="18" s="1" a="1"/>
  <c r="K26" i="18" s="1"/>
  <c r="J25" i="18"/>
  <c r="J26" i="18" s="1" a="1"/>
  <c r="J26" i="18" s="1"/>
  <c r="I25" i="18"/>
  <c r="I26" i="18" s="1" a="1"/>
  <c r="I26" i="18" s="1"/>
  <c r="H25" i="18"/>
  <c r="H26" i="18" s="1" a="1"/>
  <c r="H26" i="18" s="1"/>
  <c r="G25" i="18"/>
  <c r="G26" i="18" s="1" a="1"/>
  <c r="G26" i="18" s="1"/>
  <c r="F25" i="18"/>
  <c r="F26" i="18" s="1" a="1"/>
  <c r="F26" i="18" s="1"/>
  <c r="D25" i="18"/>
  <c r="D26" i="18" s="1" a="1"/>
  <c r="D26" i="18" s="1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M25" i="16"/>
  <c r="M26" i="16" s="1" a="1"/>
  <c r="M26" i="16" s="1"/>
  <c r="L25" i="16"/>
  <c r="L26" i="16" s="1" a="1"/>
  <c r="L26" i="16" s="1"/>
  <c r="K25" i="16"/>
  <c r="K26" i="16" s="1" a="1"/>
  <c r="K26" i="16" s="1"/>
  <c r="J25" i="16"/>
  <c r="J26" i="16" s="1" a="1"/>
  <c r="J26" i="16" s="1"/>
  <c r="I25" i="16"/>
  <c r="I26" i="16" s="1" a="1"/>
  <c r="I26" i="16" s="1"/>
  <c r="H25" i="16"/>
  <c r="H26" i="16" s="1" a="1"/>
  <c r="H26" i="16" s="1"/>
  <c r="G25" i="16"/>
  <c r="G26" i="16" s="1" a="1"/>
  <c r="G26" i="16" s="1"/>
  <c r="F25" i="16"/>
  <c r="F26" i="16" s="1" a="1"/>
  <c r="F26" i="16" s="1"/>
  <c r="E26" i="16" a="1"/>
  <c r="E26" i="16" s="1"/>
  <c r="D25" i="16"/>
  <c r="D26" i="16" s="1" a="1"/>
  <c r="D26" i="16" s="1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M25" i="15"/>
  <c r="M26" i="15" s="1" a="1"/>
  <c r="M26" i="15" s="1"/>
  <c r="L25" i="15"/>
  <c r="L26" i="15" s="1" a="1"/>
  <c r="L26" i="15" s="1"/>
  <c r="K25" i="15"/>
  <c r="K26" i="15" s="1" a="1"/>
  <c r="K26" i="15" s="1"/>
  <c r="J25" i="15"/>
  <c r="J26" i="15" s="1" a="1"/>
  <c r="J26" i="15" s="1"/>
  <c r="I25" i="15"/>
  <c r="I26" i="15" s="1" a="1"/>
  <c r="I26" i="15" s="1"/>
  <c r="H25" i="15"/>
  <c r="H26" i="15" s="1" a="1"/>
  <c r="H26" i="15" s="1"/>
  <c r="G25" i="15"/>
  <c r="G26" i="15" s="1" a="1"/>
  <c r="G26" i="15" s="1"/>
  <c r="F25" i="15"/>
  <c r="F26" i="15" s="1" a="1"/>
  <c r="F26" i="15" s="1"/>
  <c r="E26" i="15" a="1"/>
  <c r="E26" i="15" s="1"/>
  <c r="D25" i="15"/>
  <c r="D26" i="15" s="1" a="1"/>
  <c r="D26" i="15" s="1"/>
  <c r="N24" i="15"/>
  <c r="N23" i="15"/>
  <c r="N22" i="15"/>
  <c r="N21" i="15"/>
  <c r="N20" i="15"/>
  <c r="N19" i="15"/>
  <c r="N18" i="15"/>
  <c r="N17" i="15"/>
  <c r="N16" i="15"/>
  <c r="N15" i="15"/>
  <c r="N14" i="15"/>
  <c r="N13" i="15"/>
  <c r="N12" i="15"/>
  <c r="M25" i="14"/>
  <c r="M26" i="14" s="1" a="1"/>
  <c r="M26" i="14" s="1"/>
  <c r="L25" i="14"/>
  <c r="L26" i="14" s="1" a="1"/>
  <c r="L26" i="14" s="1"/>
  <c r="K25" i="14"/>
  <c r="K26" i="14" s="1" a="1"/>
  <c r="K26" i="14" s="1"/>
  <c r="J25" i="14"/>
  <c r="J26" i="14" s="1" a="1"/>
  <c r="J26" i="14" s="1"/>
  <c r="I25" i="14"/>
  <c r="I26" i="14" s="1" a="1"/>
  <c r="I26" i="14" s="1"/>
  <c r="H25" i="14"/>
  <c r="H26" i="14" s="1" a="1"/>
  <c r="H26" i="14" s="1"/>
  <c r="G25" i="14"/>
  <c r="G26" i="14" s="1" a="1"/>
  <c r="G26" i="14" s="1"/>
  <c r="F25" i="14"/>
  <c r="F26" i="14" s="1" a="1"/>
  <c r="F26" i="14" s="1"/>
  <c r="E26" i="14" a="1"/>
  <c r="E26" i="14" s="1"/>
  <c r="D25" i="14"/>
  <c r="D26" i="14" s="1" a="1"/>
  <c r="D26" i="14" s="1"/>
  <c r="N24" i="14"/>
  <c r="N23" i="14"/>
  <c r="N22" i="14"/>
  <c r="N21" i="14"/>
  <c r="N20" i="14"/>
  <c r="N19" i="14"/>
  <c r="N18" i="14"/>
  <c r="N17" i="14"/>
  <c r="N16" i="14"/>
  <c r="N15" i="14"/>
  <c r="N14" i="14"/>
  <c r="N13" i="14"/>
  <c r="N12" i="14"/>
  <c r="M25" i="13"/>
  <c r="M26" i="13" s="1" a="1"/>
  <c r="M26" i="13" s="1"/>
  <c r="L25" i="13"/>
  <c r="L26" i="13" s="1" a="1"/>
  <c r="L26" i="13" s="1"/>
  <c r="K25" i="13"/>
  <c r="K26" i="13" s="1" a="1"/>
  <c r="K26" i="13" s="1"/>
  <c r="J25" i="13"/>
  <c r="J26" i="13" s="1" a="1"/>
  <c r="J26" i="13" s="1"/>
  <c r="I25" i="13"/>
  <c r="I26" i="13" s="1" a="1"/>
  <c r="I26" i="13" s="1"/>
  <c r="H25" i="13"/>
  <c r="H26" i="13" s="1" a="1"/>
  <c r="H26" i="13" s="1"/>
  <c r="G25" i="13"/>
  <c r="G26" i="13" s="1" a="1"/>
  <c r="G26" i="13" s="1"/>
  <c r="F25" i="13"/>
  <c r="F26" i="13" s="1" a="1"/>
  <c r="F26" i="13" s="1"/>
  <c r="E26" i="13" a="1"/>
  <c r="E26" i="13" s="1"/>
  <c r="D25" i="13"/>
  <c r="D26" i="13" s="1" a="1"/>
  <c r="D26" i="13" s="1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M25" i="12"/>
  <c r="M26" i="12" s="1" a="1"/>
  <c r="M26" i="12" s="1"/>
  <c r="L25" i="12"/>
  <c r="L26" i="12" s="1" a="1"/>
  <c r="L26" i="12" s="1"/>
  <c r="K25" i="12"/>
  <c r="K26" i="12" s="1" a="1"/>
  <c r="K26" i="12" s="1"/>
  <c r="J25" i="12"/>
  <c r="J26" i="12" s="1" a="1"/>
  <c r="J26" i="12" s="1"/>
  <c r="I25" i="12"/>
  <c r="I26" i="12" s="1" a="1"/>
  <c r="I26" i="12" s="1"/>
  <c r="H25" i="12"/>
  <c r="H26" i="12" s="1" a="1"/>
  <c r="H26" i="12" s="1"/>
  <c r="G25" i="12"/>
  <c r="G26" i="12" s="1" a="1"/>
  <c r="G26" i="12" s="1"/>
  <c r="F25" i="12"/>
  <c r="F26" i="12" s="1" a="1"/>
  <c r="F26" i="12" s="1"/>
  <c r="E26" i="12" a="1"/>
  <c r="E26" i="12" s="1"/>
  <c r="D25" i="12"/>
  <c r="D26" i="12" s="1" a="1"/>
  <c r="D26" i="12" s="1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25" i="19" l="1"/>
  <c r="N26" i="19" s="1" a="1"/>
  <c r="N26" i="19" s="1"/>
  <c r="N25" i="18"/>
  <c r="N26" i="18" s="1" a="1"/>
  <c r="N26" i="18" s="1"/>
  <c r="N25" i="16"/>
  <c r="N26" i="16" s="1" a="1"/>
  <c r="N26" i="16" s="1"/>
  <c r="N25" i="15"/>
  <c r="N26" i="15" s="1" a="1"/>
  <c r="N26" i="15" s="1"/>
  <c r="N25" i="14"/>
  <c r="N26" i="14" s="1" a="1"/>
  <c r="N26" i="14" s="1"/>
  <c r="N25" i="13"/>
  <c r="N26" i="13" s="1" a="1"/>
  <c r="N26" i="13" s="1"/>
  <c r="N25" i="12"/>
  <c r="N26" i="12" s="1" a="1"/>
  <c r="N26" i="12" s="1"/>
  <c r="M25" i="11" l="1"/>
  <c r="M26" i="11" s="1" a="1"/>
  <c r="M26" i="11" s="1"/>
  <c r="L25" i="11"/>
  <c r="L26" i="11" s="1" a="1"/>
  <c r="L26" i="11" s="1"/>
  <c r="K25" i="11"/>
  <c r="K26" i="11" s="1" a="1"/>
  <c r="K26" i="11" s="1"/>
  <c r="J25" i="11"/>
  <c r="J26" i="11" s="1" a="1"/>
  <c r="J26" i="11" s="1"/>
  <c r="I25" i="11"/>
  <c r="I26" i="11" s="1" a="1"/>
  <c r="I26" i="11" s="1"/>
  <c r="H25" i="11"/>
  <c r="H26" i="11" s="1" a="1"/>
  <c r="H26" i="11" s="1"/>
  <c r="G25" i="11"/>
  <c r="G26" i="11" s="1" a="1"/>
  <c r="G26" i="11" s="1"/>
  <c r="F25" i="11"/>
  <c r="F26" i="11" s="1" a="1"/>
  <c r="F26" i="11" s="1"/>
  <c r="E26" i="11" a="1"/>
  <c r="E26" i="11" s="1"/>
  <c r="D25" i="11"/>
  <c r="D26" i="11" s="1" a="1"/>
  <c r="D26" i="11" s="1"/>
  <c r="N24" i="11"/>
  <c r="N23" i="11"/>
  <c r="N22" i="11"/>
  <c r="N21" i="11"/>
  <c r="N20" i="11"/>
  <c r="N19" i="11"/>
  <c r="N18" i="11"/>
  <c r="N17" i="11"/>
  <c r="N16" i="11"/>
  <c r="N15" i="11"/>
  <c r="N14" i="11"/>
  <c r="N13" i="11"/>
  <c r="N12" i="11"/>
  <c r="M26" i="10" a="1"/>
  <c r="M26" i="10" s="1"/>
  <c r="M25" i="10"/>
  <c r="L25" i="10"/>
  <c r="L26" i="10" s="1" a="1"/>
  <c r="L26" i="10" s="1"/>
  <c r="K25" i="10"/>
  <c r="K26" i="10" s="1" a="1"/>
  <c r="K26" i="10" s="1"/>
  <c r="J25" i="10"/>
  <c r="J26" i="10" s="1" a="1"/>
  <c r="J26" i="10" s="1"/>
  <c r="I25" i="10"/>
  <c r="I26" i="10" s="1" a="1"/>
  <c r="I26" i="10" s="1"/>
  <c r="H25" i="10"/>
  <c r="H26" i="10" s="1" a="1"/>
  <c r="H26" i="10" s="1"/>
  <c r="G25" i="10"/>
  <c r="G26" i="10" s="1" a="1"/>
  <c r="G26" i="10" s="1"/>
  <c r="F25" i="10"/>
  <c r="F26" i="10" s="1" a="1"/>
  <c r="F26" i="10" s="1"/>
  <c r="E26" i="10" a="1"/>
  <c r="E26" i="10" s="1"/>
  <c r="D25" i="10"/>
  <c r="D26" i="10" s="1" a="1"/>
  <c r="D26" i="10" s="1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M25" i="9"/>
  <c r="M26" i="9" s="1" a="1"/>
  <c r="M26" i="9" s="1"/>
  <c r="L25" i="9"/>
  <c r="L26" i="9" s="1" a="1"/>
  <c r="L26" i="9" s="1"/>
  <c r="K25" i="9"/>
  <c r="K26" i="9" s="1" a="1"/>
  <c r="K26" i="9" s="1"/>
  <c r="J25" i="9"/>
  <c r="J26" i="9" s="1" a="1"/>
  <c r="J26" i="9" s="1"/>
  <c r="I25" i="9"/>
  <c r="I26" i="9" s="1" a="1"/>
  <c r="I26" i="9" s="1"/>
  <c r="H25" i="9"/>
  <c r="H26" i="9" s="1" a="1"/>
  <c r="H26" i="9" s="1"/>
  <c r="G25" i="9"/>
  <c r="G26" i="9" s="1" a="1"/>
  <c r="G26" i="9" s="1"/>
  <c r="F25" i="9"/>
  <c r="F26" i="9" s="1" a="1"/>
  <c r="F26" i="9" s="1"/>
  <c r="E26" i="9" a="1"/>
  <c r="E26" i="9" s="1"/>
  <c r="D25" i="9"/>
  <c r="D26" i="9" s="1" a="1"/>
  <c r="D26" i="9" s="1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L26" i="8" a="1"/>
  <c r="L26" i="8" s="1"/>
  <c r="M25" i="8"/>
  <c r="M26" i="8" s="1" a="1"/>
  <c r="M26" i="8" s="1"/>
  <c r="L25" i="8"/>
  <c r="K25" i="8"/>
  <c r="K26" i="8" s="1" a="1"/>
  <c r="K26" i="8" s="1"/>
  <c r="J25" i="8"/>
  <c r="J26" i="8" s="1" a="1"/>
  <c r="J26" i="8" s="1"/>
  <c r="I25" i="8"/>
  <c r="I26" i="8" s="1" a="1"/>
  <c r="I26" i="8" s="1"/>
  <c r="H25" i="8"/>
  <c r="H26" i="8" s="1" a="1"/>
  <c r="H26" i="8" s="1"/>
  <c r="G25" i="8"/>
  <c r="G26" i="8" s="1" a="1"/>
  <c r="G26" i="8" s="1"/>
  <c r="F25" i="8"/>
  <c r="F26" i="8" s="1" a="1"/>
  <c r="F26" i="8" s="1"/>
  <c r="E26" i="8" a="1"/>
  <c r="E26" i="8" s="1"/>
  <c r="D25" i="8"/>
  <c r="D26" i="8" s="1" a="1"/>
  <c r="D26" i="8" s="1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M25" i="7"/>
  <c r="M26" i="7" s="1" a="1"/>
  <c r="M26" i="7" s="1"/>
  <c r="L25" i="7"/>
  <c r="L26" i="7" s="1" a="1"/>
  <c r="L26" i="7" s="1"/>
  <c r="K25" i="7"/>
  <c r="K26" i="7" s="1" a="1"/>
  <c r="K26" i="7" s="1"/>
  <c r="J25" i="7"/>
  <c r="J26" i="7" s="1" a="1"/>
  <c r="J26" i="7" s="1"/>
  <c r="I25" i="7"/>
  <c r="I26" i="7" s="1" a="1"/>
  <c r="I26" i="7" s="1"/>
  <c r="H25" i="7"/>
  <c r="H26" i="7" s="1" a="1"/>
  <c r="H26" i="7" s="1"/>
  <c r="G25" i="7"/>
  <c r="G26" i="7" s="1" a="1"/>
  <c r="G26" i="7" s="1"/>
  <c r="F25" i="7"/>
  <c r="F26" i="7" s="1" a="1"/>
  <c r="F26" i="7" s="1"/>
  <c r="E26" i="7" a="1"/>
  <c r="E26" i="7" s="1"/>
  <c r="D25" i="7"/>
  <c r="D26" i="7" s="1" a="1"/>
  <c r="D26" i="7" s="1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M25" i="6"/>
  <c r="M26" i="6" s="1" a="1"/>
  <c r="M26" i="6" s="1"/>
  <c r="L25" i="6"/>
  <c r="L26" i="6" s="1" a="1"/>
  <c r="L26" i="6" s="1"/>
  <c r="K25" i="6"/>
  <c r="K26" i="6" s="1" a="1"/>
  <c r="K26" i="6" s="1"/>
  <c r="J25" i="6"/>
  <c r="J26" i="6" s="1" a="1"/>
  <c r="J26" i="6" s="1"/>
  <c r="I25" i="6"/>
  <c r="I26" i="6" s="1" a="1"/>
  <c r="I26" i="6" s="1"/>
  <c r="H25" i="6"/>
  <c r="H26" i="6" s="1" a="1"/>
  <c r="H26" i="6" s="1"/>
  <c r="G25" i="6"/>
  <c r="G26" i="6" s="1" a="1"/>
  <c r="G26" i="6" s="1"/>
  <c r="F25" i="6"/>
  <c r="F26" i="6" s="1" a="1"/>
  <c r="F26" i="6" s="1"/>
  <c r="E26" i="6" a="1"/>
  <c r="E26" i="6" s="1"/>
  <c r="D25" i="6"/>
  <c r="D26" i="6" s="1" a="1"/>
  <c r="D26" i="6" s="1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M25" i="5"/>
  <c r="M26" i="5" s="1" a="1"/>
  <c r="M26" i="5" s="1"/>
  <c r="L25" i="5"/>
  <c r="L26" i="5" s="1" a="1"/>
  <c r="L26" i="5" s="1"/>
  <c r="K25" i="5"/>
  <c r="K26" i="5" s="1" a="1"/>
  <c r="K26" i="5" s="1"/>
  <c r="J25" i="5"/>
  <c r="J26" i="5" s="1" a="1"/>
  <c r="J26" i="5" s="1"/>
  <c r="I25" i="5"/>
  <c r="I26" i="5" s="1" a="1"/>
  <c r="I26" i="5" s="1"/>
  <c r="H25" i="5"/>
  <c r="H26" i="5" s="1" a="1"/>
  <c r="H26" i="5" s="1"/>
  <c r="G25" i="5"/>
  <c r="G26" i="5" s="1" a="1"/>
  <c r="G26" i="5" s="1"/>
  <c r="F25" i="5"/>
  <c r="F26" i="5" s="1" a="1"/>
  <c r="F26" i="5" s="1"/>
  <c r="E26" i="5" a="1"/>
  <c r="E26" i="5" s="1"/>
  <c r="D25" i="5"/>
  <c r="D26" i="5" s="1" a="1"/>
  <c r="D26" i="5" s="1"/>
  <c r="N23" i="5"/>
  <c r="N22" i="5"/>
  <c r="N21" i="5"/>
  <c r="N20" i="5"/>
  <c r="N19" i="5"/>
  <c r="N18" i="5"/>
  <c r="N17" i="5"/>
  <c r="N16" i="5"/>
  <c r="N15" i="5"/>
  <c r="N14" i="5"/>
  <c r="N13" i="5"/>
  <c r="N12" i="5"/>
  <c r="M25" i="4"/>
  <c r="M26" i="4" s="1" a="1"/>
  <c r="M26" i="4" s="1"/>
  <c r="L25" i="4"/>
  <c r="L26" i="4" s="1" a="1"/>
  <c r="L26" i="4" s="1"/>
  <c r="K25" i="4"/>
  <c r="K26" i="4" s="1" a="1"/>
  <c r="K26" i="4" s="1"/>
  <c r="J25" i="4"/>
  <c r="J26" i="4" s="1" a="1"/>
  <c r="J26" i="4" s="1"/>
  <c r="I25" i="4"/>
  <c r="I26" i="4" s="1" a="1"/>
  <c r="I26" i="4" s="1"/>
  <c r="H25" i="4"/>
  <c r="H26" i="4" s="1" a="1"/>
  <c r="H26" i="4" s="1"/>
  <c r="G25" i="4"/>
  <c r="G26" i="4" s="1" a="1"/>
  <c r="G26" i="4" s="1"/>
  <c r="F25" i="4"/>
  <c r="F26" i="4" s="1" a="1"/>
  <c r="F26" i="4" s="1"/>
  <c r="E26" i="4" a="1"/>
  <c r="E26" i="4" s="1"/>
  <c r="D25" i="4"/>
  <c r="D26" i="4" s="1" a="1"/>
  <c r="D26" i="4" s="1"/>
  <c r="N23" i="4"/>
  <c r="N22" i="4"/>
  <c r="N21" i="4"/>
  <c r="N20" i="4"/>
  <c r="N19" i="4"/>
  <c r="N18" i="4"/>
  <c r="N17" i="4"/>
  <c r="N16" i="4"/>
  <c r="N15" i="4"/>
  <c r="N14" i="4"/>
  <c r="N13" i="4"/>
  <c r="N12" i="4"/>
  <c r="M25" i="3"/>
  <c r="M26" i="3" s="1" a="1"/>
  <c r="M26" i="3" s="1"/>
  <c r="L25" i="3"/>
  <c r="L26" i="3" s="1" a="1"/>
  <c r="L26" i="3" s="1"/>
  <c r="K25" i="3"/>
  <c r="K26" i="3" s="1" a="1"/>
  <c r="K26" i="3" s="1"/>
  <c r="J25" i="3"/>
  <c r="J26" i="3" s="1" a="1"/>
  <c r="J26" i="3" s="1"/>
  <c r="I25" i="3"/>
  <c r="I26" i="3" s="1" a="1"/>
  <c r="I26" i="3" s="1"/>
  <c r="H25" i="3"/>
  <c r="H26" i="3" s="1" a="1"/>
  <c r="H26" i="3" s="1"/>
  <c r="G25" i="3"/>
  <c r="G26" i="3" s="1" a="1"/>
  <c r="G26" i="3" s="1"/>
  <c r="F25" i="3"/>
  <c r="F26" i="3" s="1" a="1"/>
  <c r="F26" i="3" s="1"/>
  <c r="E26" i="3" a="1"/>
  <c r="E26" i="3" s="1"/>
  <c r="D25" i="3"/>
  <c r="D26" i="3" s="1" a="1"/>
  <c r="D26" i="3" s="1"/>
  <c r="N23" i="3"/>
  <c r="N22" i="3"/>
  <c r="N21" i="3"/>
  <c r="N20" i="3"/>
  <c r="N19" i="3"/>
  <c r="N18" i="3"/>
  <c r="N17" i="3"/>
  <c r="N16" i="3"/>
  <c r="N15" i="3"/>
  <c r="N14" i="3"/>
  <c r="N13" i="3"/>
  <c r="N12" i="3"/>
  <c r="E25" i="1"/>
  <c r="E26" i="1" s="1" a="1"/>
  <c r="E26" i="1" s="1"/>
  <c r="M25" i="1"/>
  <c r="M26" i="1" s="1" a="1"/>
  <c r="M26" i="1" s="1"/>
  <c r="L25" i="1"/>
  <c r="L26" i="1" s="1" a="1"/>
  <c r="L26" i="1" s="1"/>
  <c r="K25" i="1"/>
  <c r="K26" i="1" s="1" a="1"/>
  <c r="K26" i="1" s="1"/>
  <c r="J25" i="1"/>
  <c r="J26" i="1" s="1" a="1"/>
  <c r="J26" i="1" s="1"/>
  <c r="I25" i="1"/>
  <c r="I26" i="1" s="1" a="1"/>
  <c r="I26" i="1" s="1"/>
  <c r="H25" i="1"/>
  <c r="H26" i="1" s="1" a="1"/>
  <c r="H26" i="1" s="1"/>
  <c r="G25" i="1"/>
  <c r="G26" i="1" s="1" a="1"/>
  <c r="G26" i="1" s="1"/>
  <c r="F25" i="1"/>
  <c r="F26" i="1" s="1" a="1"/>
  <c r="F26" i="1" s="1"/>
  <c r="D25" i="1"/>
  <c r="D26" i="1" s="1" a="1"/>
  <c r="D26" i="1" s="1"/>
  <c r="N25" i="11" l="1"/>
  <c r="N26" i="11" s="1" a="1"/>
  <c r="N26" i="11" s="1"/>
  <c r="N25" i="8"/>
  <c r="N26" i="8" s="1" a="1"/>
  <c r="N26" i="8" s="1"/>
  <c r="N25" i="7"/>
  <c r="N26" i="7" s="1" a="1"/>
  <c r="N26" i="7" s="1"/>
  <c r="N25" i="10"/>
  <c r="N26" i="10" s="1" a="1"/>
  <c r="N26" i="10" s="1"/>
  <c r="N25" i="9"/>
  <c r="N26" i="9" s="1" a="1"/>
  <c r="N26" i="9" s="1"/>
  <c r="N25" i="6"/>
  <c r="N26" i="6" s="1" a="1"/>
  <c r="N26" i="6" s="1"/>
  <c r="N25" i="4"/>
  <c r="N26" i="4" s="1" a="1"/>
  <c r="N26" i="4" s="1"/>
  <c r="N25" i="5"/>
  <c r="N26" i="5" s="1" a="1"/>
  <c r="N26" i="5" s="1"/>
  <c r="N25" i="3"/>
  <c r="N26" i="3" s="1" a="1"/>
  <c r="N26" i="3" s="1"/>
  <c r="N25" i="1"/>
  <c r="N26" i="1" s="1" a="1"/>
  <c r="N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<sst xmlns="http://schemas.openxmlformats.org/spreadsheetml/2006/main" count="1163" uniqueCount="175">
  <si>
    <t>T1</t>
  </si>
  <si>
    <t>T2</t>
  </si>
  <si>
    <t>T3</t>
  </si>
  <si>
    <t>T5</t>
  </si>
  <si>
    <t>T4</t>
  </si>
  <si>
    <t>T6</t>
  </si>
  <si>
    <t>C1</t>
  </si>
  <si>
    <t>C2</t>
  </si>
  <si>
    <t>C3</t>
  </si>
  <si>
    <t>C4</t>
  </si>
  <si>
    <t>C5</t>
  </si>
  <si>
    <t>C6</t>
  </si>
  <si>
    <t>Total</t>
  </si>
  <si>
    <t>Mean/Avg</t>
  </si>
  <si>
    <t>Students</t>
  </si>
  <si>
    <t>Rubric</t>
  </si>
  <si>
    <t>Grade</t>
  </si>
  <si>
    <t>Python Fundamentals</t>
  </si>
  <si>
    <t>Program Logic and Control Flow</t>
  </si>
  <si>
    <t>Code Organization and Structure</t>
  </si>
  <si>
    <t>Data Handling and Integration</t>
  </si>
  <si>
    <t>Debugging, Testing, and Validation</t>
  </si>
  <si>
    <t>AI/RBA-Assisted Development and Accountability</t>
  </si>
  <si>
    <t>Solve Problems</t>
  </si>
  <si>
    <t>Communicate Clearly</t>
  </si>
  <si>
    <t>Work Productively</t>
  </si>
  <si>
    <t>Value Learning</t>
  </si>
  <si>
    <t>Work Cooperatively</t>
  </si>
  <si>
    <t>Act Professionally</t>
  </si>
  <si>
    <t>Course</t>
  </si>
  <si>
    <t>Week</t>
  </si>
  <si>
    <t>Assignment Name</t>
  </si>
  <si>
    <t>Primary Focus</t>
  </si>
  <si>
    <t>Secondary Focus</t>
  </si>
  <si>
    <t>Light Focus</t>
  </si>
  <si>
    <t>Not Assessed</t>
  </si>
  <si>
    <t>T3, T4, T6</t>
  </si>
  <si>
    <t>C2, C3</t>
  </si>
  <si>
    <t>T2, T5, C1, C4, C5, C6</t>
  </si>
  <si>
    <t>Day</t>
  </si>
  <si>
    <t>First Programs</t>
  </si>
  <si>
    <t>Score</t>
  </si>
  <si>
    <t>4-Execeds</t>
  </si>
  <si>
    <t>3-Meets</t>
  </si>
  <si>
    <t>2-Dev</t>
  </si>
  <si>
    <t>1=N/I</t>
  </si>
  <si>
    <t>Uses Python fundamentals accurately and confidently; code is clear, readable, and mostly free of basic syntax or type issues</t>
  </si>
  <si>
    <t>Uses Python fundamentals correctly with minor issues that do not prevent the program from working</t>
  </si>
  <si>
    <t>Uses some fundamentals correctly, but errors or misunderstandings affect reliability or clarity</t>
  </si>
  <si>
    <t>Struggles with basic syntax, values, variables, or input/output in ways that prevent meaningful completion</t>
  </si>
  <si>
    <t>Logic is clear, correct, and well-sequenced; conditionals and loops behave as intended across expected cases</t>
  </si>
  <si>
    <t>Logic mostly works with minor errors or limited edge-case handling</t>
  </si>
  <si>
    <t>Logic is partially correct but inconsistent, incomplete, or difficult to trace</t>
  </si>
  <si>
    <t>Program logic is missing, broken, or does not match the intended task</t>
  </si>
  <si>
    <t>Code is well organized, readable, and appropriately structured; functions, collections, or simple class-based structures are used or interpreted effectively</t>
  </si>
  <si>
    <t>Code is generally organized and readable with minor structural issues</t>
  </si>
  <si>
    <t>Some organization is present, but code is repetitive, unclear, or inconsistently structured</t>
  </si>
  <si>
    <t>Code is disorganized, difficult to follow, or lacks meaningful structure</t>
  </si>
  <si>
    <t>Handles data accurately and purposefully; uses appropriate structures, file/API patterns, or data representations with clear understanding</t>
  </si>
  <si>
    <t>Handles required data correctly with minor issues or limited refinement</t>
  </si>
  <si>
    <t>Data handling is partially successful but fragile, incomplete, or unclear</t>
  </si>
  <si>
    <t>Data is not stored, retrieved, parsed, or integrated correctly for the task</t>
  </si>
  <si>
    <t>Systematically identifies issues, tests behavior, validates fixes, and clearly explains why the solution works</t>
  </si>
  <si>
    <t>Finds and fixes most issues; uses reasonable checks or tests to confirm behavior</t>
  </si>
  <si>
    <t>Attempts debugging or testing but with limited success, incomplete validation, or unclear reasoning</t>
  </si>
  <si>
    <t>Does not effectively identify, test, or resolve problems</t>
  </si>
  <si>
    <t>Uses AI/RBA methods thoughtfully and transparently; clearly frames intent, evaluates output, adapts or rejects suggestions, and explains human decisions</t>
  </si>
  <si>
    <t>Uses AI appropriately when allowed and can explain the role AI played with minor gaps</t>
  </si>
  <si>
    <t>Uses AI with limited explanation, weak validation, or unclear distinction between AI contribution and student decision-making</t>
  </si>
  <si>
    <t>Relies on AI inappropriately, violates assignment limits, or cannot explain AI-assisted work</t>
  </si>
  <si>
    <t>EVIDENCE</t>
  </si>
  <si>
    <t>syntax, variables, values, expressions, basic types, input/output</t>
  </si>
  <si>
    <t>conditionals, loops, boolean logic, sequencing, control flow</t>
  </si>
  <si>
    <t>functions, parameters, return values, collections, readability, structure choice, class-based recognition</t>
  </si>
  <si>
    <t>lists, dictionaries, files, CSV/JSON, persistence, APIs, structured data, application-architecture recognition</t>
  </si>
  <si>
    <t>error diagnosis, test cases, expected vs actual results, repair process, explanation of fixes</t>
  </si>
  <si>
    <t>bounded AI use, RBA framing, prompt clarity, adaptation of AI output, AI-use justification, human decision-making</t>
  </si>
  <si>
    <t>troubleshooting, persistence, strategy, independent recovery</t>
  </si>
  <si>
    <t>code explanation, project explanation, AI-use justification, presentation, discussion</t>
  </si>
  <si>
    <t>focus, task completion, use of lab time, organization, meeting deadlines</t>
  </si>
  <si>
    <t>resource use, feedback application, curiosity, responsible AI/tool use, willingness to revise</t>
  </si>
  <si>
    <t>peer support, pair/group activity, respectful collaboration, shared responsibility</t>
  </si>
  <si>
    <t>attendance habits, engagement, respectful conduct, presentation quality, readiness</t>
  </si>
  <si>
    <t>ID</t>
  </si>
  <si>
    <t>Consistently identifies, analyzes, and resolves problems independently or with well-targeted support</t>
  </si>
  <si>
    <t>Resolves most problems with reasonable effort and limited guidance</t>
  </si>
  <si>
    <t>Attempts problem solving but needs frequent support or direction</t>
  </si>
  <si>
    <t>Struggles to identify, analyze, or recover from problems</t>
  </si>
  <si>
    <t>Clearly explains code, logic, decisions, and project outcomes; communicates reasoning with confidence and specificity</t>
  </si>
  <si>
    <t>Communicates adequately with minor gaps in clarity or detail</t>
  </si>
  <si>
    <t>Explanation is incomplete, vague, or difficult to follow</t>
  </si>
  <si>
    <t>Cannot clearly explain the work, logic, or decisions</t>
  </si>
  <si>
    <t>Uses time effectively, stays organized, completes tasks reliably, and makes strong progress during lab time</t>
  </si>
  <si>
    <t>Generally productive with minor lapses in focus, organization, or completion</t>
  </si>
  <si>
    <t>Productivity is inconsistent or requires frequent redirection</t>
  </si>
  <si>
    <t>Frequently off-task, incomplete, or unable to make meaningful progress</t>
  </si>
  <si>
    <t>Actively uses resources, applies feedback, asks useful questions, and improves work through revision</t>
  </si>
  <si>
    <t>Uses resources and feedback appropriately with some guidance</t>
  </si>
  <si>
    <t>Uses resources inconsistently or applies feedback only partially</t>
  </si>
  <si>
    <t>Does not meaningfully engage with learning resources, feedback, or revision</t>
  </si>
  <si>
    <t>Actively contributes, supports peers, shares responsibility, and collaborates respectfully and effectively</t>
  </si>
  <si>
    <t>Participates appropriately with minor imbalance or limited initiative</t>
  </si>
  <si>
    <t>Collaboration is inconsistent, passive, or requires support</t>
  </si>
  <si>
    <t>Does not effectively collaborate or interferes with productive group work</t>
  </si>
  <si>
    <t>Consistently professional, prepared, respectful, engaged, and accountable</t>
  </si>
  <si>
    <t>Generally professional with minor issues</t>
  </si>
  <si>
    <t>Professionalism, preparation, or engagement is inconsistent</t>
  </si>
  <si>
    <t>Behavior, preparation, or engagement does not meet course expectations</t>
  </si>
  <si>
    <t xml:space="preserve">T2 </t>
  </si>
  <si>
    <t>T5, C2, C4, C5, C6</t>
  </si>
  <si>
    <t>T1, C1, C3</t>
  </si>
  <si>
    <t>A1 - First Programs</t>
  </si>
  <si>
    <t>T1, T5, C1, C3</t>
  </si>
  <si>
    <t>T3, C2, C4, C5, C6</t>
  </si>
  <si>
    <t>T4, T6</t>
  </si>
  <si>
    <t>On-Time:</t>
  </si>
  <si>
    <t>✓</t>
  </si>
  <si>
    <t>Parker A</t>
  </si>
  <si>
    <t>Aiden C</t>
  </si>
  <si>
    <t>Elijah F</t>
  </si>
  <si>
    <t>Garret H</t>
  </si>
  <si>
    <t>Sarah I</t>
  </si>
  <si>
    <t>Ty K</t>
  </si>
  <si>
    <t>Neiliah R</t>
  </si>
  <si>
    <t>Riley S</t>
  </si>
  <si>
    <t>Dylan U</t>
  </si>
  <si>
    <t>Mark V</t>
  </si>
  <si>
    <t xml:space="preserve">Jonah T </t>
  </si>
  <si>
    <t>Jonah T</t>
  </si>
  <si>
    <t>◷</t>
  </si>
  <si>
    <t>x</t>
  </si>
  <si>
    <t>✗</t>
  </si>
  <si>
    <t>T3, T6, C3, C4</t>
  </si>
  <si>
    <t>T1, T5, C1, C3, C5, C6</t>
  </si>
  <si>
    <t>A2 (2-M) - Decisions in Code</t>
  </si>
  <si>
    <t>A5 (3-T) — List or Dictionary Mini-App</t>
  </si>
  <si>
    <t>A4 (3-M) — Function Builder</t>
  </si>
  <si>
    <t>A6 (4-M) - Debug and Explain</t>
  </si>
  <si>
    <t>A12 (6-Th) - Python App Architecture</t>
  </si>
  <si>
    <t>A11 (6-M) API Data Fetcher</t>
  </si>
  <si>
    <t>T5, C1, C2</t>
  </si>
  <si>
    <t>T5, C4</t>
  </si>
  <si>
    <t>T1, T2, T3, C3, C5, C6</t>
  </si>
  <si>
    <t>T6, C1, C2, C4,</t>
  </si>
  <si>
    <t>T1, T2, T4, T5, C3, C5, C6</t>
  </si>
  <si>
    <t>T1, T2, C1, C3, C4</t>
  </si>
  <si>
    <t>T5, T6, C2, C5, C6</t>
  </si>
  <si>
    <t>T1, T2, T4, C1, C3, C4</t>
  </si>
  <si>
    <t>A8 (5-M) - Save and Load Utility</t>
  </si>
  <si>
    <t>T1, T3, T5, T6, C1, C3, C4</t>
  </si>
  <si>
    <t>T2, C2, C4, C6</t>
  </si>
  <si>
    <t>A9 (5-T) - Structure Data Reader</t>
  </si>
  <si>
    <t>T5, T6, C1, C3, C4</t>
  </si>
  <si>
    <t>T1, T2, T3, C2, C5, C6</t>
  </si>
  <si>
    <t>A10 (5-Th) - Data Repr and App-Structure Rvw</t>
  </si>
  <si>
    <t>T6, C2, C4</t>
  </si>
  <si>
    <t>T1, T3, T5, C1, C3, C5, C6</t>
  </si>
  <si>
    <t>T2, T5, T6, C3, C4</t>
  </si>
  <si>
    <t>T4, C1</t>
  </si>
  <si>
    <t>T1, T3, C2, C5, C6</t>
  </si>
  <si>
    <t>A3 (2-T) - Loops and Repetition</t>
  </si>
  <si>
    <t>T2, T5, C5, C6</t>
  </si>
  <si>
    <t>T3, T6, C2, C4</t>
  </si>
  <si>
    <t>T4, C1, C3,</t>
  </si>
  <si>
    <t>A-13 (7-M) - RBA Project Framing</t>
  </si>
  <si>
    <t>A14 (7-T) - Capstone Proposal &amp; Approval</t>
  </si>
  <si>
    <t>T3, T6, C2</t>
  </si>
  <si>
    <t>T1, T2, T5, C5</t>
  </si>
  <si>
    <t>T4, C1, C3, C4, C6</t>
  </si>
  <si>
    <t>A7 (4-T) - Reading Structured Code</t>
  </si>
  <si>
    <t>n/a</t>
  </si>
  <si>
    <t>T1, T2, C2, C3, C4, C6</t>
  </si>
  <si>
    <t>T1, T2, T4, C5</t>
  </si>
  <si>
    <t>T3, T5, C1, C3, C4</t>
  </si>
  <si>
    <t>T6, C2, 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</si>
</sst>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BF9000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 shrinkToFit="1"/>
    </xf>
    <xf numFmtId="0" fontId="2" fillId="0" borderId="0" xfId="0" applyFont="1" applyAlignment="1">
      <alignment vertical="center"/>
    </xf>
    <xf numFmtId="0" fontId="7" fillId="0" borderId="0" xfId="0" applyFont="1" applyAlignment="1">
      <alignment horizontal="center" vertical="center" wrapText="1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9E0F3C-236A-4A45-B009-401DCF0FD041}" name="Table1" displayName="Table1" ref="B5:H17" totalsRowShown="0" headerRowDxfId="8" dataDxfId="7">
  <autoFilter ref="B5:H17" xr:uid="{769E0F3C-236A-4A45-B009-401DCF0FD041}"/>
  <tableColumns count="7">
    <tableColumn id="1" xr3:uid="{82499850-D783-41FC-8954-9FCACA3FF434}" name="ID" dataDxfId="6"/>
    <tableColumn id="2" xr3:uid="{D6EBF7C1-235A-4AA9-8138-C81E028C8F30}" name="Rubric" dataDxfId="5"/>
    <tableColumn id="3" xr3:uid="{CA471149-ECF4-4421-A334-2E4CC69D86EF}" name="EVIDENCE" dataDxfId="4"/>
    <tableColumn id="4" xr3:uid="{84B41608-BB55-41B5-A8CB-6F8207B595A5}" name="4-Execeds" dataDxfId="3"/>
    <tableColumn id="5" xr3:uid="{2F5DD200-ABCB-49D1-B607-2F29D9C1EC36}" name="3-Meets" dataDxfId="2"/>
    <tableColumn id="6" xr3:uid="{A6196420-3F07-4486-A76D-4464FA567B8D}" name="2-Dev" dataDxfId="1"/>
    <tableColumn id="7" xr3:uid="{C75EF4F8-7A3C-4F9F-81CE-D54B4DA8A670}" name="1=N/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21A6-E75B-4134-BD95-513B9CE5DFC2}">
  <sheetPr codeName="Sheet1"/>
  <dimension ref="B2:H35"/>
  <sheetViews>
    <sheetView topLeftCell="A8" workbookViewId="0">
      <selection activeCell="C36" sqref="C36"/>
    </sheetView>
  </sheetViews>
  <sheetFormatPr defaultRowHeight="15" x14ac:dyDescent="0.25"/>
  <cols>
    <col min="1" max="1" width="5" customWidth="1"/>
    <col min="2" max="2" width="9.140625" style="2"/>
    <col min="3" max="4" width="19.140625" style="3" customWidth="1"/>
    <col min="5" max="8" width="18.7109375" style="1" customWidth="1"/>
    <col min="9" max="9" width="4.85546875" customWidth="1"/>
  </cols>
  <sheetData>
    <row r="2" spans="2:8" ht="26.25" x14ac:dyDescent="0.25">
      <c r="C2" s="3" t="s">
        <v>29</v>
      </c>
      <c r="E2" s="29" t="s">
        <v>17</v>
      </c>
      <c r="F2" s="29"/>
      <c r="G2" s="29"/>
      <c r="H2" s="29"/>
    </row>
    <row r="3" spans="2:8" x14ac:dyDescent="0.25">
      <c r="E3" s="12"/>
      <c r="F3" s="12"/>
      <c r="G3" s="12"/>
      <c r="H3" s="12"/>
    </row>
    <row r="4" spans="2:8" x14ac:dyDescent="0.25">
      <c r="B4" s="14"/>
      <c r="C4" s="15"/>
      <c r="D4" s="15"/>
      <c r="E4" s="33" t="s">
        <v>41</v>
      </c>
      <c r="F4" s="33"/>
      <c r="G4" s="33"/>
      <c r="H4" s="33"/>
    </row>
    <row r="5" spans="2:8" x14ac:dyDescent="0.25">
      <c r="B5" s="1" t="s">
        <v>83</v>
      </c>
      <c r="C5" s="3" t="s">
        <v>15</v>
      </c>
      <c r="D5" s="3" t="s">
        <v>70</v>
      </c>
      <c r="E5" s="1" t="s">
        <v>42</v>
      </c>
      <c r="F5" s="1" t="s">
        <v>43</v>
      </c>
      <c r="G5" s="1" t="s">
        <v>44</v>
      </c>
      <c r="H5" s="1" t="s">
        <v>45</v>
      </c>
    </row>
    <row r="6" spans="2:8" ht="56.25" x14ac:dyDescent="0.25">
      <c r="B6" s="7" t="s">
        <v>0</v>
      </c>
      <c r="C6" s="8" t="s">
        <v>17</v>
      </c>
      <c r="D6" s="13" t="s">
        <v>71</v>
      </c>
      <c r="E6" s="10" t="s">
        <v>46</v>
      </c>
      <c r="F6" s="10" t="s">
        <v>47</v>
      </c>
      <c r="G6" s="10" t="s">
        <v>48</v>
      </c>
      <c r="H6" s="10" t="s">
        <v>49</v>
      </c>
    </row>
    <row r="7" spans="2:8" ht="56.25" x14ac:dyDescent="0.25">
      <c r="B7" s="7" t="s">
        <v>1</v>
      </c>
      <c r="C7" s="8" t="s">
        <v>18</v>
      </c>
      <c r="D7" s="13" t="s">
        <v>72</v>
      </c>
      <c r="E7" s="11" t="s">
        <v>50</v>
      </c>
      <c r="F7" s="11" t="s">
        <v>51</v>
      </c>
      <c r="G7" s="11" t="s">
        <v>52</v>
      </c>
      <c r="H7" s="11" t="s">
        <v>53</v>
      </c>
    </row>
    <row r="8" spans="2:8" ht="67.5" x14ac:dyDescent="0.25">
      <c r="B8" s="7" t="s">
        <v>2</v>
      </c>
      <c r="C8" s="8" t="s">
        <v>19</v>
      </c>
      <c r="D8" s="13" t="s">
        <v>73</v>
      </c>
      <c r="E8" s="11" t="s">
        <v>54</v>
      </c>
      <c r="F8" s="11" t="s">
        <v>55</v>
      </c>
      <c r="G8" s="11" t="s">
        <v>56</v>
      </c>
      <c r="H8" s="11" t="s">
        <v>57</v>
      </c>
    </row>
    <row r="9" spans="2:8" ht="67.5" x14ac:dyDescent="0.25">
      <c r="B9" s="7" t="s">
        <v>4</v>
      </c>
      <c r="C9" s="8" t="s">
        <v>20</v>
      </c>
      <c r="D9" s="13" t="s">
        <v>74</v>
      </c>
      <c r="E9" s="11" t="s">
        <v>58</v>
      </c>
      <c r="F9" s="11" t="s">
        <v>59</v>
      </c>
      <c r="G9" s="11" t="s">
        <v>60</v>
      </c>
      <c r="H9" s="11" t="s">
        <v>61</v>
      </c>
    </row>
    <row r="10" spans="2:8" ht="56.25" x14ac:dyDescent="0.25">
      <c r="B10" s="7" t="s">
        <v>3</v>
      </c>
      <c r="C10" s="8" t="s">
        <v>21</v>
      </c>
      <c r="D10" s="13" t="s">
        <v>75</v>
      </c>
      <c r="E10" s="11" t="s">
        <v>62</v>
      </c>
      <c r="F10" s="11" t="s">
        <v>63</v>
      </c>
      <c r="G10" s="11" t="s">
        <v>64</v>
      </c>
      <c r="H10" s="11" t="s">
        <v>65</v>
      </c>
    </row>
    <row r="11" spans="2:8" ht="78.75" x14ac:dyDescent="0.25">
      <c r="B11" s="7" t="s">
        <v>5</v>
      </c>
      <c r="C11" s="8" t="s">
        <v>22</v>
      </c>
      <c r="D11" s="13" t="s">
        <v>76</v>
      </c>
      <c r="E11" s="11" t="s">
        <v>66</v>
      </c>
      <c r="F11" s="11" t="s">
        <v>67</v>
      </c>
      <c r="G11" s="11" t="s">
        <v>68</v>
      </c>
      <c r="H11" s="11" t="s">
        <v>69</v>
      </c>
    </row>
    <row r="12" spans="2:8" ht="45" x14ac:dyDescent="0.25">
      <c r="B12" s="7" t="s">
        <v>6</v>
      </c>
      <c r="C12" s="8" t="s">
        <v>23</v>
      </c>
      <c r="D12" s="13" t="s">
        <v>77</v>
      </c>
      <c r="E12" s="10" t="s">
        <v>84</v>
      </c>
      <c r="F12" s="10" t="s">
        <v>85</v>
      </c>
      <c r="G12" s="10" t="s">
        <v>86</v>
      </c>
      <c r="H12" s="10" t="s">
        <v>87</v>
      </c>
    </row>
    <row r="13" spans="2:8" ht="67.5" x14ac:dyDescent="0.25">
      <c r="B13" s="7" t="s">
        <v>7</v>
      </c>
      <c r="C13" s="8" t="s">
        <v>24</v>
      </c>
      <c r="D13" s="13" t="s">
        <v>78</v>
      </c>
      <c r="E13" s="10" t="s">
        <v>88</v>
      </c>
      <c r="F13" s="10" t="s">
        <v>89</v>
      </c>
      <c r="G13" s="10" t="s">
        <v>90</v>
      </c>
      <c r="H13" s="10" t="s">
        <v>91</v>
      </c>
    </row>
    <row r="14" spans="2:8" ht="45" x14ac:dyDescent="0.25">
      <c r="B14" s="7" t="s">
        <v>8</v>
      </c>
      <c r="C14" s="8" t="s">
        <v>25</v>
      </c>
      <c r="D14" s="13" t="s">
        <v>79</v>
      </c>
      <c r="E14" s="10" t="s">
        <v>92</v>
      </c>
      <c r="F14" s="10" t="s">
        <v>93</v>
      </c>
      <c r="G14" s="10" t="s">
        <v>94</v>
      </c>
      <c r="H14" s="10" t="s">
        <v>95</v>
      </c>
    </row>
    <row r="15" spans="2:8" ht="56.25" x14ac:dyDescent="0.25">
      <c r="B15" s="7" t="s">
        <v>9</v>
      </c>
      <c r="C15" s="8" t="s">
        <v>26</v>
      </c>
      <c r="D15" s="13" t="s">
        <v>80</v>
      </c>
      <c r="E15" s="10" t="s">
        <v>96</v>
      </c>
      <c r="F15" s="10" t="s">
        <v>97</v>
      </c>
      <c r="G15" s="10" t="s">
        <v>98</v>
      </c>
      <c r="H15" s="10" t="s">
        <v>99</v>
      </c>
    </row>
    <row r="16" spans="2:8" ht="56.25" x14ac:dyDescent="0.25">
      <c r="B16" s="7" t="s">
        <v>10</v>
      </c>
      <c r="C16" s="8" t="s">
        <v>27</v>
      </c>
      <c r="D16" s="13" t="s">
        <v>81</v>
      </c>
      <c r="E16" s="10" t="s">
        <v>100</v>
      </c>
      <c r="F16" s="10" t="s">
        <v>101</v>
      </c>
      <c r="G16" s="10" t="s">
        <v>102</v>
      </c>
      <c r="H16" s="10" t="s">
        <v>103</v>
      </c>
    </row>
    <row r="17" spans="2:8" ht="45" x14ac:dyDescent="0.25">
      <c r="B17" s="7" t="s">
        <v>11</v>
      </c>
      <c r="C17" s="8" t="s">
        <v>28</v>
      </c>
      <c r="D17" s="13" t="s">
        <v>82</v>
      </c>
      <c r="E17" s="10" t="s">
        <v>104</v>
      </c>
      <c r="F17" s="10" t="s">
        <v>105</v>
      </c>
      <c r="G17" s="10" t="s">
        <v>106</v>
      </c>
      <c r="H17" s="10" t="s">
        <v>107</v>
      </c>
    </row>
    <row r="25" spans="2:8" x14ac:dyDescent="0.25">
      <c r="C25" s="3" t="s">
        <v>130</v>
      </c>
      <c r="D25" s="3" t="s">
        <v>118</v>
      </c>
    </row>
    <row r="26" spans="2:8" x14ac:dyDescent="0.25">
      <c r="C26" s="3" t="s">
        <v>130</v>
      </c>
      <c r="D26" s="3" t="s">
        <v>125</v>
      </c>
    </row>
    <row r="27" spans="2:8" x14ac:dyDescent="0.25">
      <c r="C27" s="3" t="s">
        <v>130</v>
      </c>
      <c r="D27" s="3" t="s">
        <v>119</v>
      </c>
    </row>
    <row r="28" spans="2:8" x14ac:dyDescent="0.25">
      <c r="C28" s="3" t="s">
        <v>130</v>
      </c>
      <c r="D28" s="3" t="s">
        <v>120</v>
      </c>
    </row>
    <row r="29" spans="2:8" x14ac:dyDescent="0.25">
      <c r="D29" s="3" t="s">
        <v>127</v>
      </c>
    </row>
    <row r="30" spans="2:8" x14ac:dyDescent="0.25">
      <c r="D30" s="3" t="s">
        <v>126</v>
      </c>
    </row>
    <row r="31" spans="2:8" x14ac:dyDescent="0.25">
      <c r="C31" s="3" t="s">
        <v>130</v>
      </c>
      <c r="D31" s="3" t="s">
        <v>123</v>
      </c>
    </row>
    <row r="32" spans="2:8" x14ac:dyDescent="0.25">
      <c r="C32" s="3" t="s">
        <v>130</v>
      </c>
      <c r="D32" s="3" t="s">
        <v>117</v>
      </c>
    </row>
    <row r="33" spans="3:4" x14ac:dyDescent="0.25">
      <c r="D33" s="3" t="s">
        <v>124</v>
      </c>
    </row>
    <row r="34" spans="3:4" x14ac:dyDescent="0.25">
      <c r="C34" s="3" t="s">
        <v>130</v>
      </c>
      <c r="D34" s="3" t="s">
        <v>121</v>
      </c>
    </row>
    <row r="35" spans="3:4" x14ac:dyDescent="0.25">
      <c r="D35" s="3" t="s">
        <v>122</v>
      </c>
    </row>
  </sheetData>
  <sortState xmlns:xlrd2="http://schemas.microsoft.com/office/spreadsheetml/2017/richdata2" ref="D25:D35">
    <sortCondition ref="D25:D35"/>
  </sortState>
  <mergeCells count="2">
    <mergeCell ref="E4:H4"/>
    <mergeCell ref="E2:H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20DE5-77DA-497C-870F-3CAF252A431C}">
  <sheetPr codeName="Sheet2"/>
  <dimension ref="B2:T26"/>
  <sheetViews>
    <sheetView topLeftCell="A3" zoomScale="85" zoomScaleNormal="85" workbookViewId="0">
      <selection activeCell="D9" sqref="D9:N9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1</v>
      </c>
      <c r="E4" s="30"/>
      <c r="F4" s="30"/>
      <c r="I4" s="26" t="s">
        <v>39</v>
      </c>
      <c r="J4" s="26"/>
      <c r="K4" s="30">
        <v>1</v>
      </c>
      <c r="L4" s="30"/>
      <c r="M4" s="30"/>
    </row>
    <row r="5" spans="2:20" ht="18.75" x14ac:dyDescent="0.25">
      <c r="C5" s="3" t="s">
        <v>31</v>
      </c>
      <c r="D5" s="31" t="s">
        <v>40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0</v>
      </c>
      <c r="E6" s="26"/>
      <c r="F6" s="26"/>
      <c r="I6" s="26" t="s">
        <v>33</v>
      </c>
      <c r="J6" s="26"/>
      <c r="K6" s="32" t="s">
        <v>37</v>
      </c>
      <c r="L6" s="32"/>
      <c r="M6" s="32"/>
    </row>
    <row r="7" spans="2:20" x14ac:dyDescent="0.25">
      <c r="C7" s="3" t="s">
        <v>34</v>
      </c>
      <c r="D7" s="25" t="s">
        <v>38</v>
      </c>
      <c r="E7" s="25"/>
      <c r="F7" s="25"/>
      <c r="I7" s="26" t="s">
        <v>35</v>
      </c>
      <c r="J7" s="26"/>
      <c r="K7" s="27" t="s">
        <v>36</v>
      </c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/>
      <c r="E11" s="20"/>
      <c r="F11" s="20"/>
      <c r="G11" s="22"/>
      <c r="H11" s="22"/>
      <c r="I11" s="22"/>
      <c r="J11" s="22"/>
      <c r="K11" s="22"/>
      <c r="L11" s="22"/>
      <c r="M11" s="22"/>
      <c r="N11" s="22"/>
      <c r="T11" s="3"/>
    </row>
    <row r="12" spans="2:20" ht="30" x14ac:dyDescent="0.25">
      <c r="B12" s="7" t="s">
        <v>0</v>
      </c>
      <c r="C12" s="8" t="s">
        <v>17</v>
      </c>
      <c r="N12" s="1" t="str">
        <f t="shared" ref="N12:N24" si="0">IFERROR(AVERAGEIFS(D12:M12,D12:M12,"&gt;0"),"")</f>
        <v/>
      </c>
      <c r="T12" s="3"/>
    </row>
    <row r="13" spans="2:20" ht="30" x14ac:dyDescent="0.25">
      <c r="B13" s="7" t="s">
        <v>1</v>
      </c>
      <c r="C13" s="8" t="s">
        <v>18</v>
      </c>
      <c r="N13" s="1" t="str">
        <f t="shared" si="0"/>
        <v/>
      </c>
      <c r="T13" s="3"/>
    </row>
    <row r="14" spans="2:20" ht="30" x14ac:dyDescent="0.25">
      <c r="B14" s="7" t="s">
        <v>2</v>
      </c>
      <c r="C14" s="8" t="s">
        <v>19</v>
      </c>
      <c r="N14" s="1" t="str">
        <f t="shared" si="0"/>
        <v/>
      </c>
      <c r="T14" s="3"/>
    </row>
    <row r="15" spans="2:20" ht="30" x14ac:dyDescent="0.25">
      <c r="B15" s="7" t="s">
        <v>4</v>
      </c>
      <c r="C15" s="8" t="s">
        <v>20</v>
      </c>
      <c r="N15" s="1" t="str">
        <f t="shared" si="0"/>
        <v/>
      </c>
      <c r="T15" s="3"/>
    </row>
    <row r="16" spans="2:20" ht="30" x14ac:dyDescent="0.25">
      <c r="B16" s="7" t="s">
        <v>3</v>
      </c>
      <c r="C16" s="8" t="s">
        <v>21</v>
      </c>
      <c r="N16" s="1" t="str">
        <f t="shared" si="0"/>
        <v/>
      </c>
      <c r="T16" s="3"/>
    </row>
    <row r="17" spans="2:20" ht="45" x14ac:dyDescent="0.25">
      <c r="B17" s="7" t="s">
        <v>5</v>
      </c>
      <c r="C17" s="8" t="s">
        <v>22</v>
      </c>
      <c r="N17" s="1" t="str">
        <f t="shared" si="0"/>
        <v/>
      </c>
      <c r="T17" s="3"/>
    </row>
    <row r="18" spans="2:20" x14ac:dyDescent="0.25">
      <c r="B18" s="7" t="s">
        <v>6</v>
      </c>
      <c r="C18" s="8" t="s">
        <v>23</v>
      </c>
      <c r="N18" s="1" t="str">
        <f t="shared" si="0"/>
        <v/>
      </c>
      <c r="T18" s="3"/>
    </row>
    <row r="19" spans="2:20" ht="30" x14ac:dyDescent="0.25">
      <c r="B19" s="7" t="s">
        <v>7</v>
      </c>
      <c r="C19" s="8" t="s">
        <v>24</v>
      </c>
      <c r="N19" s="1" t="str">
        <f t="shared" si="0"/>
        <v/>
      </c>
      <c r="T19" s="3"/>
    </row>
    <row r="20" spans="2:20" x14ac:dyDescent="0.25">
      <c r="B20" s="7" t="s">
        <v>8</v>
      </c>
      <c r="C20" s="8" t="s">
        <v>25</v>
      </c>
      <c r="N20" s="1" t="str">
        <f t="shared" si="0"/>
        <v/>
      </c>
      <c r="T20" s="3"/>
    </row>
    <row r="21" spans="2:20" x14ac:dyDescent="0.25">
      <c r="B21" s="7" t="s">
        <v>9</v>
      </c>
      <c r="C21" s="8" t="s">
        <v>26</v>
      </c>
      <c r="N21" s="1" t="str">
        <f t="shared" si="0"/>
        <v/>
      </c>
      <c r="T21" s="3"/>
    </row>
    <row r="22" spans="2:20" x14ac:dyDescent="0.25">
      <c r="B22" s="7" t="s">
        <v>10</v>
      </c>
      <c r="C22" s="8" t="s">
        <v>27</v>
      </c>
      <c r="N22" s="1" t="str">
        <f t="shared" si="0"/>
        <v/>
      </c>
    </row>
    <row r="23" spans="2:20" x14ac:dyDescent="0.25">
      <c r="B23" s="7" t="s">
        <v>11</v>
      </c>
      <c r="C23" s="8" t="s">
        <v>28</v>
      </c>
      <c r="N23" s="1" t="str">
        <f t="shared" si="0"/>
        <v/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0</v>
      </c>
      <c r="E25" s="1">
        <f>SUM(E12:E24)</f>
        <v>0</v>
      </c>
      <c r="F25" s="1">
        <f t="shared" ref="F25:N25" si="1">SUM(F12:F23)</f>
        <v>0</v>
      </c>
      <c r="G25" s="1">
        <f t="shared" si="1"/>
        <v>0</v>
      </c>
      <c r="H25" s="1">
        <f t="shared" si="1"/>
        <v>0</v>
      </c>
      <c r="I25" s="1">
        <f t="shared" si="1"/>
        <v>0</v>
      </c>
      <c r="J25" s="1">
        <f t="shared" si="1"/>
        <v>0</v>
      </c>
      <c r="K25" s="1">
        <f t="shared" si="1"/>
        <v>0</v>
      </c>
      <c r="L25" s="1">
        <f t="shared" si="1"/>
        <v>0</v>
      </c>
      <c r="M25" s="1">
        <f t="shared" si="1"/>
        <v>0</v>
      </c>
      <c r="N25" s="16">
        <f t="shared" si="1"/>
        <v>0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F</v>
      </c>
      <c r="E26" s="1" t="str" cm="1">
        <f t="array" ref="E26">_xlfn.IFS(E25/48&gt;=0.9,"A",E25/48&gt;=0.8,"B",E25/48&gt;=0.7,"C",E25/48&gt;=0.6,"D",TRUE,"F")</f>
        <v>F</v>
      </c>
      <c r="F26" s="1" t="str" cm="1">
        <f t="array" ref="F26">_xlfn.IFS(F25/48&gt;=0.9,"A",F25/48&gt;=0.8,"B",F25/48&gt;=0.7,"C",F25/48&gt;=0.6,"D",TRUE,"F")</f>
        <v>F</v>
      </c>
      <c r="G26" s="1" t="str" cm="1">
        <f t="array" ref="G26">_xlfn.IFS(G25/48&gt;=0.9,"A",G25/48&gt;=0.8,"B",G25/48&gt;=0.7,"C",G25/48&gt;=0.6,"D",TRUE,"F")</f>
        <v>F</v>
      </c>
      <c r="H26" s="1" t="str" cm="1">
        <f t="array" ref="H26">_xlfn.IFS(H25/48&gt;=0.9,"A",H25/48&gt;=0.8,"B",H25/48&gt;=0.7,"C",H25/48&gt;=0.6,"D",TRUE,"F")</f>
        <v>F</v>
      </c>
      <c r="I26" s="1" t="str" cm="1">
        <f t="array" ref="I26">_xlfn.IFS(I25/48&gt;=0.9,"A",I25/48&gt;=0.8,"B",I25/48&gt;=0.7,"C",I25/48&gt;=0.6,"D",TRUE,"F")</f>
        <v>F</v>
      </c>
      <c r="J26" s="1" t="str" cm="1">
        <f t="array" ref="J26">_xlfn.IFS(J25/48&gt;=0.9,"A",J25/48&gt;=0.8,"B",J25/48&gt;=0.7,"C",J25/48&gt;=0.6,"D",TRUE,"F")</f>
        <v>F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F</v>
      </c>
      <c r="M26" s="1" t="str" cm="1">
        <f t="array" ref="M26">_xlfn.IFS(M25/48&gt;=0.9,"A",M25/48&gt;=0.8,"B",M25/48&gt;=0.7,"C",M25/48&gt;=0.6,"D",TRUE,"F")</f>
        <v>F</v>
      </c>
      <c r="N26" s="16" t="str" cm="1">
        <f t="array" ref="N26">_xlfn.IFS(N25/48&gt;=0.9,"A",N25/48&gt;=0.8,"B",N25/48&gt;=0.7,"C",N25/48&gt;=0.6,"D",TRUE,"F")</f>
        <v>F</v>
      </c>
    </row>
  </sheetData>
  <mergeCells count="12">
    <mergeCell ref="D4:F4"/>
    <mergeCell ref="K4:M4"/>
    <mergeCell ref="D9:N9"/>
    <mergeCell ref="D2:N2"/>
    <mergeCell ref="I6:J6"/>
    <mergeCell ref="I7:J7"/>
    <mergeCell ref="I4:J4"/>
    <mergeCell ref="D5:M5"/>
    <mergeCell ref="K7:M7"/>
    <mergeCell ref="K6:M6"/>
    <mergeCell ref="D6:F6"/>
    <mergeCell ref="D7:F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3CB12-F114-4C4F-B464-904CD1B3E0D1}">
  <sheetPr codeName="Sheet3"/>
  <dimension ref="B2:N26"/>
  <sheetViews>
    <sheetView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14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14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14" x14ac:dyDescent="0.25">
      <c r="C4" s="3" t="s">
        <v>30</v>
      </c>
      <c r="D4" s="30">
        <v>1</v>
      </c>
      <c r="E4" s="30"/>
      <c r="F4" s="30"/>
      <c r="I4" s="26" t="s">
        <v>39</v>
      </c>
      <c r="J4" s="26"/>
      <c r="K4" s="30">
        <v>1</v>
      </c>
      <c r="L4" s="30"/>
      <c r="M4" s="30"/>
    </row>
    <row r="5" spans="2:14" ht="18.75" x14ac:dyDescent="0.25">
      <c r="C5" s="3" t="s">
        <v>31</v>
      </c>
      <c r="D5" s="31" t="s">
        <v>111</v>
      </c>
      <c r="E5" s="31"/>
      <c r="F5" s="31"/>
      <c r="G5" s="31"/>
      <c r="H5" s="31"/>
      <c r="I5" s="31"/>
      <c r="J5" s="31"/>
      <c r="K5" s="31"/>
      <c r="L5" s="31"/>
      <c r="M5" s="31"/>
    </row>
    <row r="6" spans="2:14" x14ac:dyDescent="0.25">
      <c r="C6" s="3" t="s">
        <v>32</v>
      </c>
      <c r="D6" s="26" t="s">
        <v>0</v>
      </c>
      <c r="E6" s="26"/>
      <c r="F6" s="26"/>
      <c r="I6" s="26" t="s">
        <v>33</v>
      </c>
      <c r="J6" s="26"/>
      <c r="K6" s="34" t="s">
        <v>37</v>
      </c>
      <c r="L6" s="34"/>
      <c r="M6" s="34"/>
    </row>
    <row r="7" spans="2:14" x14ac:dyDescent="0.25">
      <c r="C7" s="3" t="s">
        <v>34</v>
      </c>
      <c r="D7" s="25" t="s">
        <v>38</v>
      </c>
      <c r="E7" s="25"/>
      <c r="F7" s="25"/>
      <c r="I7" s="26" t="s">
        <v>35</v>
      </c>
      <c r="J7" s="26"/>
      <c r="K7" s="27" t="s">
        <v>36</v>
      </c>
      <c r="L7" s="27"/>
      <c r="M7" s="27"/>
    </row>
    <row r="9" spans="2:14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14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14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1" t="s">
        <v>129</v>
      </c>
      <c r="H11" s="21" t="s">
        <v>129</v>
      </c>
      <c r="I11" s="21" t="s">
        <v>129</v>
      </c>
      <c r="J11" s="21" t="s">
        <v>129</v>
      </c>
      <c r="K11" s="20" t="s">
        <v>116</v>
      </c>
      <c r="L11" s="20" t="s">
        <v>116</v>
      </c>
      <c r="M11" s="20" t="s">
        <v>116</v>
      </c>
    </row>
    <row r="12" spans="2:14" ht="30" x14ac:dyDescent="0.25">
      <c r="B12" s="7" t="s">
        <v>0</v>
      </c>
      <c r="C12" s="8" t="s">
        <v>17</v>
      </c>
      <c r="D12" s="1">
        <v>4</v>
      </c>
      <c r="E12" s="1">
        <v>4</v>
      </c>
      <c r="F12" s="1">
        <v>3</v>
      </c>
      <c r="G12" s="1">
        <v>3</v>
      </c>
      <c r="H12" s="1">
        <v>4</v>
      </c>
      <c r="I12" s="1">
        <v>4</v>
      </c>
      <c r="J12" s="1">
        <v>4</v>
      </c>
      <c r="K12" s="1">
        <v>4</v>
      </c>
      <c r="L12" s="1">
        <v>4</v>
      </c>
      <c r="M12" s="1">
        <v>4</v>
      </c>
      <c r="N12" s="1">
        <f t="shared" ref="N12:N23" si="0">IFERROR(AVERAGEIFS(D12:M12,D12:M12,"&gt;0"),"")</f>
        <v>3.8</v>
      </c>
    </row>
    <row r="13" spans="2:14" ht="30" x14ac:dyDescent="0.25">
      <c r="B13" s="7" t="s">
        <v>1</v>
      </c>
      <c r="C13" s="8" t="s">
        <v>18</v>
      </c>
      <c r="D13" s="4">
        <v>4</v>
      </c>
      <c r="E13" s="4">
        <v>3</v>
      </c>
      <c r="F13" s="4">
        <v>3</v>
      </c>
      <c r="G13" s="4">
        <v>3</v>
      </c>
      <c r="H13" s="4">
        <v>3</v>
      </c>
      <c r="I13" s="4">
        <v>4</v>
      </c>
      <c r="J13" s="4">
        <v>4</v>
      </c>
      <c r="K13" s="4">
        <v>4</v>
      </c>
      <c r="L13" s="4">
        <v>4</v>
      </c>
      <c r="M13" s="4">
        <v>3</v>
      </c>
      <c r="N13" s="1">
        <f t="shared" si="0"/>
        <v>3.5</v>
      </c>
    </row>
    <row r="14" spans="2:14" ht="30" x14ac:dyDescent="0.25">
      <c r="B14" s="7" t="s">
        <v>2</v>
      </c>
      <c r="C14" s="8" t="s">
        <v>19</v>
      </c>
      <c r="D14" s="5">
        <v>4</v>
      </c>
      <c r="E14" s="5">
        <v>4</v>
      </c>
      <c r="F14" s="5">
        <v>4</v>
      </c>
      <c r="G14" s="5">
        <v>4</v>
      </c>
      <c r="H14" s="5">
        <v>4</v>
      </c>
      <c r="I14" s="5">
        <v>4</v>
      </c>
      <c r="J14" s="5">
        <v>4</v>
      </c>
      <c r="K14" s="5">
        <v>4</v>
      </c>
      <c r="L14" s="5">
        <v>4</v>
      </c>
      <c r="M14" s="5">
        <v>4</v>
      </c>
      <c r="N14" s="1">
        <f t="shared" si="0"/>
        <v>4</v>
      </c>
    </row>
    <row r="15" spans="2:14" ht="30" x14ac:dyDescent="0.25">
      <c r="B15" s="7" t="s">
        <v>4</v>
      </c>
      <c r="C15" s="8" t="s">
        <v>20</v>
      </c>
      <c r="D15" s="5">
        <v>4</v>
      </c>
      <c r="E15" s="5">
        <v>4</v>
      </c>
      <c r="F15" s="5">
        <v>4</v>
      </c>
      <c r="G15" s="5">
        <v>4</v>
      </c>
      <c r="H15" s="5">
        <v>4</v>
      </c>
      <c r="I15" s="5">
        <v>4</v>
      </c>
      <c r="J15" s="5">
        <v>4</v>
      </c>
      <c r="K15" s="5">
        <v>4</v>
      </c>
      <c r="L15" s="5">
        <v>4</v>
      </c>
      <c r="M15" s="5">
        <v>4</v>
      </c>
      <c r="N15" s="1">
        <f t="shared" si="0"/>
        <v>4</v>
      </c>
    </row>
    <row r="16" spans="2:14" ht="30" x14ac:dyDescent="0.25">
      <c r="B16" s="7" t="s">
        <v>3</v>
      </c>
      <c r="C16" s="8" t="s">
        <v>21</v>
      </c>
      <c r="D16" s="4">
        <v>4</v>
      </c>
      <c r="E16" s="4">
        <v>3</v>
      </c>
      <c r="F16" s="4">
        <v>3</v>
      </c>
      <c r="G16" s="4">
        <v>1</v>
      </c>
      <c r="H16" s="4">
        <v>3</v>
      </c>
      <c r="I16" s="4">
        <v>3</v>
      </c>
      <c r="J16" s="4">
        <v>4</v>
      </c>
      <c r="K16" s="4">
        <v>3</v>
      </c>
      <c r="L16" s="4">
        <v>4</v>
      </c>
      <c r="M16" s="4">
        <v>3</v>
      </c>
      <c r="N16" s="1">
        <f t="shared" si="0"/>
        <v>3.1</v>
      </c>
    </row>
    <row r="17" spans="2:14" ht="45" x14ac:dyDescent="0.25">
      <c r="B17" s="7" t="s">
        <v>5</v>
      </c>
      <c r="C17" s="8" t="s">
        <v>22</v>
      </c>
      <c r="D17" s="5">
        <v>4</v>
      </c>
      <c r="E17" s="5">
        <v>4</v>
      </c>
      <c r="F17" s="5">
        <v>4</v>
      </c>
      <c r="G17" s="5">
        <v>4</v>
      </c>
      <c r="H17" s="5">
        <v>4</v>
      </c>
      <c r="I17" s="5">
        <v>4</v>
      </c>
      <c r="J17" s="5">
        <v>4</v>
      </c>
      <c r="K17" s="5">
        <v>4</v>
      </c>
      <c r="L17" s="5">
        <v>4</v>
      </c>
      <c r="M17" s="5">
        <v>4</v>
      </c>
      <c r="N17" s="1">
        <f t="shared" si="0"/>
        <v>4</v>
      </c>
    </row>
    <row r="18" spans="2:14" x14ac:dyDescent="0.25">
      <c r="B18" s="7" t="s">
        <v>6</v>
      </c>
      <c r="C18" s="8" t="s">
        <v>23</v>
      </c>
      <c r="D18" s="4">
        <v>4</v>
      </c>
      <c r="E18" s="4">
        <v>4</v>
      </c>
      <c r="F18" s="4">
        <v>3</v>
      </c>
      <c r="G18" s="4">
        <v>4</v>
      </c>
      <c r="H18" s="4">
        <v>3</v>
      </c>
      <c r="I18" s="4">
        <v>3</v>
      </c>
      <c r="J18" s="4">
        <v>4</v>
      </c>
      <c r="K18" s="4">
        <v>3</v>
      </c>
      <c r="L18" s="4">
        <v>4</v>
      </c>
      <c r="M18" s="4">
        <v>3</v>
      </c>
      <c r="N18" s="1">
        <f t="shared" si="0"/>
        <v>3.5</v>
      </c>
    </row>
    <row r="19" spans="2:14" ht="30" x14ac:dyDescent="0.25">
      <c r="B19" s="7" t="s">
        <v>7</v>
      </c>
      <c r="C19" s="8" t="s">
        <v>24</v>
      </c>
      <c r="D19" s="17">
        <v>4</v>
      </c>
      <c r="E19" s="17">
        <v>4</v>
      </c>
      <c r="F19" s="17">
        <v>4</v>
      </c>
      <c r="G19" s="17">
        <v>4</v>
      </c>
      <c r="H19" s="17">
        <v>2</v>
      </c>
      <c r="I19" s="17">
        <v>4</v>
      </c>
      <c r="J19" s="17">
        <v>4</v>
      </c>
      <c r="K19" s="17">
        <v>4</v>
      </c>
      <c r="L19" s="17">
        <v>4</v>
      </c>
      <c r="M19" s="17">
        <v>3</v>
      </c>
      <c r="N19" s="1">
        <f t="shared" si="0"/>
        <v>3.7</v>
      </c>
    </row>
    <row r="20" spans="2:14" x14ac:dyDescent="0.25">
      <c r="B20" s="7" t="s">
        <v>8</v>
      </c>
      <c r="C20" s="8" t="s">
        <v>25</v>
      </c>
      <c r="D20" s="17">
        <v>3</v>
      </c>
      <c r="E20" s="17">
        <v>4</v>
      </c>
      <c r="F20" s="17">
        <v>2</v>
      </c>
      <c r="G20" s="17">
        <v>4</v>
      </c>
      <c r="H20" s="17">
        <v>3</v>
      </c>
      <c r="I20" s="17">
        <v>4</v>
      </c>
      <c r="J20" s="17">
        <v>3</v>
      </c>
      <c r="K20" s="17">
        <v>4</v>
      </c>
      <c r="L20" s="17">
        <v>4</v>
      </c>
      <c r="M20" s="17">
        <v>4</v>
      </c>
      <c r="N20" s="1">
        <f t="shared" si="0"/>
        <v>3.5</v>
      </c>
    </row>
    <row r="21" spans="2:14" x14ac:dyDescent="0.25">
      <c r="B21" s="7" t="s">
        <v>9</v>
      </c>
      <c r="C21" s="8" t="s">
        <v>26</v>
      </c>
      <c r="D21" s="4">
        <v>4</v>
      </c>
      <c r="E21" s="4">
        <v>4</v>
      </c>
      <c r="F21" s="4">
        <v>3</v>
      </c>
      <c r="G21" s="4">
        <v>3</v>
      </c>
      <c r="H21" s="4">
        <v>3</v>
      </c>
      <c r="I21" s="4">
        <v>4</v>
      </c>
      <c r="J21" s="4">
        <v>4</v>
      </c>
      <c r="K21" s="4">
        <v>4</v>
      </c>
      <c r="L21" s="4">
        <v>4</v>
      </c>
      <c r="M21" s="4">
        <v>3</v>
      </c>
      <c r="N21" s="1">
        <f t="shared" si="0"/>
        <v>3.6</v>
      </c>
    </row>
    <row r="22" spans="2:14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4</v>
      </c>
      <c r="H22" s="4">
        <v>3</v>
      </c>
      <c r="I22" s="4">
        <v>3</v>
      </c>
      <c r="J22" s="4">
        <v>3</v>
      </c>
      <c r="K22" s="4">
        <v>3</v>
      </c>
      <c r="L22" s="4">
        <v>4</v>
      </c>
      <c r="M22" s="4">
        <v>3</v>
      </c>
      <c r="N22" s="1">
        <f t="shared" si="0"/>
        <v>3.2</v>
      </c>
    </row>
    <row r="23" spans="2:14" x14ac:dyDescent="0.25">
      <c r="B23" s="7" t="s">
        <v>11</v>
      </c>
      <c r="C23" s="8" t="s">
        <v>28</v>
      </c>
      <c r="D23" s="4">
        <v>4</v>
      </c>
      <c r="E23" s="4">
        <v>3</v>
      </c>
      <c r="F23" s="4">
        <v>3</v>
      </c>
      <c r="G23" s="4">
        <v>4</v>
      </c>
      <c r="H23" s="4">
        <v>3</v>
      </c>
      <c r="I23" s="4">
        <v>3</v>
      </c>
      <c r="J23" s="4">
        <v>4</v>
      </c>
      <c r="K23" s="4">
        <v>3</v>
      </c>
      <c r="L23" s="4">
        <v>4</v>
      </c>
      <c r="M23" s="4">
        <v>3</v>
      </c>
      <c r="N23" s="1">
        <f t="shared" si="0"/>
        <v>3.4</v>
      </c>
    </row>
    <row r="25" spans="2:14" x14ac:dyDescent="0.25">
      <c r="B25" s="1" t="s">
        <v>12</v>
      </c>
      <c r="D25" s="1">
        <f>SUM(D12:D23)</f>
        <v>46</v>
      </c>
      <c r="E25" s="1">
        <f>SUM(E12:E23)</f>
        <v>44</v>
      </c>
      <c r="F25" s="1">
        <f t="shared" ref="F25:N25" si="1">SUM(F12:F23)</f>
        <v>39</v>
      </c>
      <c r="G25" s="1">
        <f t="shared" si="1"/>
        <v>42</v>
      </c>
      <c r="H25" s="1">
        <f t="shared" si="1"/>
        <v>39</v>
      </c>
      <c r="I25" s="1">
        <f t="shared" si="1"/>
        <v>44</v>
      </c>
      <c r="J25" s="1">
        <f t="shared" si="1"/>
        <v>46</v>
      </c>
      <c r="K25" s="1">
        <f t="shared" si="1"/>
        <v>44</v>
      </c>
      <c r="L25" s="1">
        <f t="shared" si="1"/>
        <v>48</v>
      </c>
      <c r="M25" s="1">
        <f t="shared" si="1"/>
        <v>41</v>
      </c>
      <c r="N25" s="16">
        <f t="shared" si="1"/>
        <v>43.300000000000004</v>
      </c>
    </row>
    <row r="26" spans="2:14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A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B</v>
      </c>
      <c r="H26" s="1" t="str" cm="1">
        <f t="array" ref="H26">_xlfn.IFS(H25/48&gt;=0.9,"A",H25/48&gt;=0.8,"B",H25/48&gt;=0.7,"C",H25/48&gt;=0.6,"D",TRUE,"F")</f>
        <v>B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A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6" t="str" cm="1">
        <f t="array" ref="N26">_xlfn.IFS(N25/48&gt;=0.9,"A",N25/48&gt;=0.8,"B",N25/48&gt;=0.7,"C",N25/48&gt;=0.6,"D",TRUE,"F")</f>
        <v>A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45F3A-EB7C-40C6-881A-C09E8D40DE78}">
  <sheetPr codeName="Sheet4"/>
  <dimension ref="B2:N26"/>
  <sheetViews>
    <sheetView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14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14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14" x14ac:dyDescent="0.25">
      <c r="C4" s="3" t="s">
        <v>30</v>
      </c>
      <c r="D4" s="30">
        <v>2</v>
      </c>
      <c r="E4" s="30"/>
      <c r="F4" s="30"/>
      <c r="I4" s="26" t="s">
        <v>39</v>
      </c>
      <c r="J4" s="26"/>
      <c r="K4" s="30">
        <v>1</v>
      </c>
      <c r="L4" s="30"/>
      <c r="M4" s="30"/>
    </row>
    <row r="5" spans="2:14" ht="18.75" x14ac:dyDescent="0.25">
      <c r="C5" s="3" t="s">
        <v>31</v>
      </c>
      <c r="D5" s="31" t="s">
        <v>134</v>
      </c>
      <c r="E5" s="31"/>
      <c r="F5" s="31"/>
      <c r="G5" s="31"/>
      <c r="H5" s="31"/>
      <c r="I5" s="31"/>
      <c r="J5" s="31"/>
      <c r="K5" s="31"/>
      <c r="L5" s="31"/>
      <c r="M5" s="31"/>
    </row>
    <row r="6" spans="2:14" x14ac:dyDescent="0.25">
      <c r="C6" s="3" t="s">
        <v>32</v>
      </c>
      <c r="D6" s="26" t="s">
        <v>108</v>
      </c>
      <c r="E6" s="26"/>
      <c r="F6" s="26"/>
      <c r="I6" s="26" t="s">
        <v>33</v>
      </c>
      <c r="J6" s="26"/>
      <c r="K6" s="34" t="s">
        <v>110</v>
      </c>
      <c r="L6" s="34"/>
      <c r="M6" s="34"/>
    </row>
    <row r="7" spans="2:14" x14ac:dyDescent="0.25">
      <c r="C7" s="3" t="s">
        <v>34</v>
      </c>
      <c r="D7" s="25" t="s">
        <v>109</v>
      </c>
      <c r="E7" s="25"/>
      <c r="F7" s="25"/>
      <c r="I7" s="26" t="s">
        <v>35</v>
      </c>
      <c r="J7" s="26"/>
      <c r="K7" s="27" t="s">
        <v>36</v>
      </c>
      <c r="L7" s="27"/>
      <c r="M7" s="27"/>
    </row>
    <row r="9" spans="2:14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14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14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0" t="s">
        <v>116</v>
      </c>
      <c r="I11" s="21" t="s">
        <v>129</v>
      </c>
      <c r="J11" s="20" t="s">
        <v>116</v>
      </c>
      <c r="K11" s="20" t="s">
        <v>116</v>
      </c>
      <c r="L11" s="21" t="s">
        <v>129</v>
      </c>
      <c r="M11" s="21" t="s">
        <v>129</v>
      </c>
      <c r="N11" s="22"/>
    </row>
    <row r="12" spans="2:14" ht="30" x14ac:dyDescent="0.25">
      <c r="B12" s="7" t="s">
        <v>0</v>
      </c>
      <c r="C12" s="8" t="s">
        <v>17</v>
      </c>
      <c r="D12" s="17">
        <v>4</v>
      </c>
      <c r="E12" s="17">
        <v>4</v>
      </c>
      <c r="F12" s="17">
        <v>3</v>
      </c>
      <c r="G12" s="17">
        <v>3</v>
      </c>
      <c r="H12" s="17">
        <v>4</v>
      </c>
      <c r="I12" s="17">
        <v>4</v>
      </c>
      <c r="J12" s="17">
        <v>4</v>
      </c>
      <c r="K12" s="17">
        <v>4</v>
      </c>
      <c r="L12" s="17">
        <v>4</v>
      </c>
      <c r="M12" s="17">
        <v>3</v>
      </c>
      <c r="N12" s="1">
        <f t="shared" ref="N12:N23" si="0">IFERROR(AVERAGEIFS(D12:M12,D12:M12,"&gt;0"),"")</f>
        <v>3.7</v>
      </c>
    </row>
    <row r="13" spans="2:14" ht="30" x14ac:dyDescent="0.25">
      <c r="B13" s="7" t="s">
        <v>1</v>
      </c>
      <c r="C13" s="8" t="s">
        <v>18</v>
      </c>
      <c r="D13" s="1">
        <v>4</v>
      </c>
      <c r="E13" s="1">
        <v>4</v>
      </c>
      <c r="F13" s="1">
        <v>4</v>
      </c>
      <c r="G13" s="1">
        <v>4</v>
      </c>
      <c r="H13" s="1">
        <v>4</v>
      </c>
      <c r="I13" s="1">
        <v>4</v>
      </c>
      <c r="J13" s="1">
        <v>3</v>
      </c>
      <c r="K13" s="1">
        <v>4</v>
      </c>
      <c r="L13" s="1">
        <v>4</v>
      </c>
      <c r="M13" s="1">
        <v>4</v>
      </c>
      <c r="N13" s="1">
        <f t="shared" si="0"/>
        <v>3.9</v>
      </c>
    </row>
    <row r="14" spans="2:14" ht="30" x14ac:dyDescent="0.25">
      <c r="B14" s="7" t="s">
        <v>2</v>
      </c>
      <c r="C14" s="8" t="s">
        <v>19</v>
      </c>
      <c r="D14" s="9">
        <v>4</v>
      </c>
      <c r="E14" s="9">
        <v>4</v>
      </c>
      <c r="F14" s="9">
        <v>4</v>
      </c>
      <c r="G14" s="9">
        <v>4</v>
      </c>
      <c r="H14" s="9">
        <v>4</v>
      </c>
      <c r="I14" s="9">
        <v>4</v>
      </c>
      <c r="J14" s="9">
        <v>4</v>
      </c>
      <c r="K14" s="9">
        <v>4</v>
      </c>
      <c r="L14" s="9">
        <v>4</v>
      </c>
      <c r="M14" s="9">
        <v>4</v>
      </c>
      <c r="N14" s="1">
        <f t="shared" si="0"/>
        <v>4</v>
      </c>
    </row>
    <row r="15" spans="2:14" ht="30" x14ac:dyDescent="0.25">
      <c r="B15" s="7" t="s">
        <v>4</v>
      </c>
      <c r="C15" s="8" t="s">
        <v>20</v>
      </c>
      <c r="D15" s="9">
        <v>4</v>
      </c>
      <c r="E15" s="9">
        <v>4</v>
      </c>
      <c r="F15" s="9">
        <v>4</v>
      </c>
      <c r="G15" s="9">
        <v>4</v>
      </c>
      <c r="H15" s="9">
        <v>4</v>
      </c>
      <c r="I15" s="9">
        <v>4</v>
      </c>
      <c r="J15" s="9">
        <v>4</v>
      </c>
      <c r="K15" s="9">
        <v>4</v>
      </c>
      <c r="L15" s="9">
        <v>4</v>
      </c>
      <c r="M15" s="9">
        <v>4</v>
      </c>
      <c r="N15" s="1">
        <f t="shared" si="0"/>
        <v>4</v>
      </c>
    </row>
    <row r="16" spans="2:14" ht="30" x14ac:dyDescent="0.25">
      <c r="B16" s="7" t="s">
        <v>3</v>
      </c>
      <c r="C16" s="8" t="s">
        <v>21</v>
      </c>
      <c r="D16" s="4">
        <v>3</v>
      </c>
      <c r="E16" s="4">
        <v>3</v>
      </c>
      <c r="F16" s="4">
        <v>3</v>
      </c>
      <c r="G16" s="4">
        <v>4</v>
      </c>
      <c r="H16" s="4">
        <v>3</v>
      </c>
      <c r="I16" s="4">
        <v>3</v>
      </c>
      <c r="J16" s="4">
        <v>3</v>
      </c>
      <c r="K16" s="4">
        <v>3</v>
      </c>
      <c r="L16" s="4">
        <v>3</v>
      </c>
      <c r="M16" s="4">
        <v>3</v>
      </c>
      <c r="N16" s="1">
        <f t="shared" si="0"/>
        <v>3.1</v>
      </c>
    </row>
    <row r="17" spans="2:14" ht="45" x14ac:dyDescent="0.25">
      <c r="B17" s="7" t="s">
        <v>5</v>
      </c>
      <c r="C17" s="8" t="s">
        <v>22</v>
      </c>
      <c r="D17" s="9">
        <v>4</v>
      </c>
      <c r="E17" s="9">
        <v>4</v>
      </c>
      <c r="F17" s="9">
        <v>4</v>
      </c>
      <c r="G17" s="9">
        <v>4</v>
      </c>
      <c r="H17" s="9">
        <v>4</v>
      </c>
      <c r="I17" s="9">
        <v>4</v>
      </c>
      <c r="J17" s="9">
        <v>4</v>
      </c>
      <c r="K17" s="9">
        <v>4</v>
      </c>
      <c r="L17" s="9">
        <v>4</v>
      </c>
      <c r="M17" s="9">
        <v>4</v>
      </c>
      <c r="N17" s="1">
        <f t="shared" si="0"/>
        <v>4</v>
      </c>
    </row>
    <row r="18" spans="2:14" x14ac:dyDescent="0.25">
      <c r="B18" s="7" t="s">
        <v>6</v>
      </c>
      <c r="C18" s="8" t="s">
        <v>23</v>
      </c>
      <c r="D18" s="17">
        <v>4</v>
      </c>
      <c r="E18" s="17">
        <v>4</v>
      </c>
      <c r="F18" s="17">
        <v>3</v>
      </c>
      <c r="G18" s="17">
        <v>4</v>
      </c>
      <c r="H18" s="17">
        <v>4</v>
      </c>
      <c r="I18" s="17">
        <v>4</v>
      </c>
      <c r="J18" s="17">
        <v>4</v>
      </c>
      <c r="K18" s="17">
        <v>3</v>
      </c>
      <c r="L18" s="17">
        <v>4</v>
      </c>
      <c r="M18" s="17">
        <v>3</v>
      </c>
      <c r="N18" s="1">
        <f t="shared" si="0"/>
        <v>3.7</v>
      </c>
    </row>
    <row r="19" spans="2:14" ht="30" x14ac:dyDescent="0.25">
      <c r="B19" s="7" t="s">
        <v>7</v>
      </c>
      <c r="C19" s="8" t="s">
        <v>24</v>
      </c>
      <c r="D19" s="4">
        <v>4</v>
      </c>
      <c r="E19" s="4">
        <v>4</v>
      </c>
      <c r="F19" s="4">
        <v>4</v>
      </c>
      <c r="G19" s="4">
        <v>4</v>
      </c>
      <c r="H19" s="4">
        <v>3</v>
      </c>
      <c r="I19" s="4">
        <v>3</v>
      </c>
      <c r="J19" s="4">
        <v>4</v>
      </c>
      <c r="K19" s="4">
        <v>3</v>
      </c>
      <c r="L19" s="4">
        <v>4</v>
      </c>
      <c r="M19" s="4">
        <v>3</v>
      </c>
      <c r="N19" s="1">
        <f t="shared" si="0"/>
        <v>3.6</v>
      </c>
    </row>
    <row r="20" spans="2:14" x14ac:dyDescent="0.25">
      <c r="B20" s="7" t="s">
        <v>8</v>
      </c>
      <c r="C20" s="8" t="s">
        <v>25</v>
      </c>
      <c r="D20" s="17">
        <v>4</v>
      </c>
      <c r="E20" s="17">
        <v>4</v>
      </c>
      <c r="F20" s="17">
        <v>3</v>
      </c>
      <c r="G20" s="17">
        <v>4</v>
      </c>
      <c r="H20" s="17">
        <v>4</v>
      </c>
      <c r="I20" s="17">
        <v>4</v>
      </c>
      <c r="J20" s="17">
        <v>4</v>
      </c>
      <c r="K20" s="17">
        <v>3</v>
      </c>
      <c r="L20" s="17">
        <v>4</v>
      </c>
      <c r="M20" s="17">
        <v>3</v>
      </c>
      <c r="N20" s="1">
        <f t="shared" si="0"/>
        <v>3.7</v>
      </c>
    </row>
    <row r="21" spans="2:14" x14ac:dyDescent="0.25">
      <c r="B21" s="7" t="s">
        <v>9</v>
      </c>
      <c r="C21" s="8" t="s">
        <v>26</v>
      </c>
      <c r="D21" s="4">
        <v>4</v>
      </c>
      <c r="E21" s="4">
        <v>4</v>
      </c>
      <c r="F21" s="4">
        <v>4</v>
      </c>
      <c r="G21" s="4">
        <v>3</v>
      </c>
      <c r="H21" s="4">
        <v>4</v>
      </c>
      <c r="I21" s="4">
        <v>3</v>
      </c>
      <c r="J21" s="4">
        <v>4</v>
      </c>
      <c r="K21" s="4">
        <v>3</v>
      </c>
      <c r="L21" s="4">
        <v>4</v>
      </c>
      <c r="M21" s="4">
        <v>3</v>
      </c>
      <c r="N21" s="1">
        <f t="shared" si="0"/>
        <v>3.6</v>
      </c>
    </row>
    <row r="22" spans="2:14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3</v>
      </c>
      <c r="L22" s="4">
        <v>4</v>
      </c>
      <c r="M22" s="4">
        <v>3</v>
      </c>
      <c r="N22" s="1">
        <f t="shared" si="0"/>
        <v>3.1</v>
      </c>
    </row>
    <row r="23" spans="2:14" x14ac:dyDescent="0.25">
      <c r="B23" s="7" t="s">
        <v>11</v>
      </c>
      <c r="C23" s="8" t="s">
        <v>28</v>
      </c>
      <c r="D23" s="4">
        <v>3</v>
      </c>
      <c r="E23" s="4">
        <v>3</v>
      </c>
      <c r="F23" s="4">
        <v>3</v>
      </c>
      <c r="G23" s="4">
        <v>3</v>
      </c>
      <c r="H23" s="4">
        <v>3</v>
      </c>
      <c r="I23" s="4">
        <v>3</v>
      </c>
      <c r="J23" s="4">
        <v>4</v>
      </c>
      <c r="K23" s="4">
        <v>3</v>
      </c>
      <c r="L23" s="4">
        <v>4</v>
      </c>
      <c r="M23" s="4">
        <v>3</v>
      </c>
      <c r="N23" s="1">
        <f t="shared" si="0"/>
        <v>3.2</v>
      </c>
    </row>
    <row r="25" spans="2:14" x14ac:dyDescent="0.25">
      <c r="B25" s="1" t="s">
        <v>12</v>
      </c>
      <c r="D25" s="1">
        <f>SUM(D12:D23)</f>
        <v>45</v>
      </c>
      <c r="E25" s="1">
        <f>SUM(E12:E23)</f>
        <v>45</v>
      </c>
      <c r="F25" s="1">
        <f t="shared" ref="F25:N25" si="1">SUM(F12:F23)</f>
        <v>42</v>
      </c>
      <c r="G25" s="1">
        <f t="shared" si="1"/>
        <v>44</v>
      </c>
      <c r="H25" s="1">
        <f t="shared" si="1"/>
        <v>44</v>
      </c>
      <c r="I25" s="1">
        <f t="shared" si="1"/>
        <v>43</v>
      </c>
      <c r="J25" s="1">
        <f t="shared" si="1"/>
        <v>45</v>
      </c>
      <c r="K25" s="1">
        <f t="shared" si="1"/>
        <v>41</v>
      </c>
      <c r="L25" s="1">
        <f t="shared" si="1"/>
        <v>47</v>
      </c>
      <c r="M25" s="1">
        <f t="shared" si="1"/>
        <v>40</v>
      </c>
      <c r="N25" s="16">
        <f t="shared" si="1"/>
        <v>43.600000000000009</v>
      </c>
    </row>
    <row r="26" spans="2:14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A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A</v>
      </c>
      <c r="I26" s="1" t="str" cm="1">
        <f t="array" ref="I26">_xlfn.IFS(I25/48&gt;=0.9,"A",I25/48&gt;=0.8,"B",I25/48&gt;=0.7,"C",I25/48&gt;=0.6,"D",TRUE,"F")</f>
        <v>B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B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6" t="str" cm="1">
        <f t="array" ref="N26">_xlfn.IFS(N25/48&gt;=0.9,"A",N25/48&gt;=0.8,"B",N25/48&gt;=0.7,"C",N25/48&gt;=0.6,"D",TRUE,"F")</f>
        <v>A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5143-2D09-412C-8687-0B6545DD3E12}">
  <sheetPr codeName="Sheet5"/>
  <dimension ref="B2:N26"/>
  <sheetViews>
    <sheetView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14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14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14" x14ac:dyDescent="0.25">
      <c r="C4" s="3" t="s">
        <v>30</v>
      </c>
      <c r="D4" s="30">
        <v>2</v>
      </c>
      <c r="E4" s="30"/>
      <c r="F4" s="30"/>
      <c r="I4" s="26" t="s">
        <v>39</v>
      </c>
      <c r="J4" s="26"/>
      <c r="K4" s="30">
        <v>2</v>
      </c>
      <c r="L4" s="30"/>
      <c r="M4" s="30"/>
    </row>
    <row r="5" spans="2:14" ht="18.75" x14ac:dyDescent="0.25">
      <c r="C5" s="3" t="s">
        <v>31</v>
      </c>
      <c r="D5" s="31" t="s">
        <v>160</v>
      </c>
      <c r="E5" s="31"/>
      <c r="F5" s="31"/>
      <c r="G5" s="31"/>
      <c r="H5" s="31"/>
      <c r="I5" s="31"/>
      <c r="J5" s="31"/>
      <c r="K5" s="31"/>
      <c r="L5" s="31"/>
      <c r="M5" s="31"/>
    </row>
    <row r="6" spans="2:14" x14ac:dyDescent="0.25">
      <c r="C6" s="3" t="s">
        <v>32</v>
      </c>
      <c r="D6" s="26" t="s">
        <v>1</v>
      </c>
      <c r="E6" s="26"/>
      <c r="F6" s="26"/>
      <c r="I6" s="26" t="s">
        <v>33</v>
      </c>
      <c r="J6" s="26"/>
      <c r="K6" s="34" t="s">
        <v>112</v>
      </c>
      <c r="L6" s="34"/>
      <c r="M6" s="34"/>
    </row>
    <row r="7" spans="2:14" x14ac:dyDescent="0.25">
      <c r="C7" s="3" t="s">
        <v>34</v>
      </c>
      <c r="D7" s="25" t="s">
        <v>113</v>
      </c>
      <c r="E7" s="25"/>
      <c r="F7" s="25"/>
      <c r="I7" s="26" t="s">
        <v>35</v>
      </c>
      <c r="J7" s="26"/>
      <c r="K7" s="27" t="s">
        <v>114</v>
      </c>
      <c r="L7" s="27"/>
      <c r="M7" s="27"/>
    </row>
    <row r="9" spans="2:14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14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14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0" t="s">
        <v>116</v>
      </c>
      <c r="I11" s="21" t="s">
        <v>129</v>
      </c>
      <c r="J11" s="20" t="s">
        <v>116</v>
      </c>
      <c r="K11" s="20" t="s">
        <v>116</v>
      </c>
      <c r="L11" s="20" t="s">
        <v>116</v>
      </c>
      <c r="M11" s="21" t="s">
        <v>129</v>
      </c>
      <c r="N11" s="24"/>
    </row>
    <row r="12" spans="2:14" ht="30" x14ac:dyDescent="0.25">
      <c r="B12" s="7" t="s">
        <v>0</v>
      </c>
      <c r="C12" s="8" t="s">
        <v>17</v>
      </c>
      <c r="D12" s="17">
        <v>4</v>
      </c>
      <c r="E12" s="17">
        <v>4</v>
      </c>
      <c r="F12" s="17">
        <v>4</v>
      </c>
      <c r="G12" s="17">
        <v>4</v>
      </c>
      <c r="H12" s="17">
        <v>4</v>
      </c>
      <c r="I12" s="17">
        <v>4</v>
      </c>
      <c r="J12" s="17">
        <v>4</v>
      </c>
      <c r="K12" s="17">
        <v>4</v>
      </c>
      <c r="L12" s="17">
        <v>4</v>
      </c>
      <c r="M12" s="17">
        <v>4</v>
      </c>
      <c r="N12" s="1">
        <f t="shared" ref="N12:N23" si="0">IFERROR(AVERAGEIFS(D12:M12,D12:M12,"&gt;0"),"")</f>
        <v>4</v>
      </c>
    </row>
    <row r="13" spans="2:14" ht="30" x14ac:dyDescent="0.25">
      <c r="B13" s="7" t="s">
        <v>1</v>
      </c>
      <c r="C13" s="8" t="s">
        <v>18</v>
      </c>
      <c r="D13" s="1">
        <v>4</v>
      </c>
      <c r="E13" s="1">
        <v>4</v>
      </c>
      <c r="F13" s="1">
        <v>4</v>
      </c>
      <c r="G13" s="1">
        <v>4</v>
      </c>
      <c r="H13" s="1">
        <v>4</v>
      </c>
      <c r="I13" s="1">
        <v>4</v>
      </c>
      <c r="J13" s="1">
        <v>4</v>
      </c>
      <c r="K13" s="1">
        <v>4</v>
      </c>
      <c r="L13" s="1">
        <v>4</v>
      </c>
      <c r="M13" s="1">
        <v>4</v>
      </c>
      <c r="N13" s="1">
        <f t="shared" si="0"/>
        <v>4</v>
      </c>
    </row>
    <row r="14" spans="2:14" ht="30" x14ac:dyDescent="0.25">
      <c r="B14" s="7" t="s">
        <v>2</v>
      </c>
      <c r="C14" s="8" t="s">
        <v>19</v>
      </c>
      <c r="D14" s="4">
        <v>3</v>
      </c>
      <c r="E14" s="4">
        <v>4</v>
      </c>
      <c r="F14" s="4">
        <v>3</v>
      </c>
      <c r="G14" s="4">
        <v>4</v>
      </c>
      <c r="H14" s="4">
        <v>3</v>
      </c>
      <c r="I14" s="4">
        <v>3</v>
      </c>
      <c r="J14" s="4">
        <v>4</v>
      </c>
      <c r="K14" s="4">
        <v>3</v>
      </c>
      <c r="L14" s="4">
        <v>4</v>
      </c>
      <c r="M14" s="4">
        <v>3</v>
      </c>
      <c r="N14" s="1">
        <f t="shared" si="0"/>
        <v>3.4</v>
      </c>
    </row>
    <row r="15" spans="2:14" ht="30" x14ac:dyDescent="0.25">
      <c r="B15" s="7" t="s">
        <v>4</v>
      </c>
      <c r="C15" s="8" t="s">
        <v>20</v>
      </c>
      <c r="D15" s="9">
        <v>4</v>
      </c>
      <c r="E15" s="9">
        <v>4</v>
      </c>
      <c r="F15" s="9">
        <v>4</v>
      </c>
      <c r="G15" s="9">
        <v>4</v>
      </c>
      <c r="H15" s="9">
        <v>4</v>
      </c>
      <c r="I15" s="9">
        <v>4</v>
      </c>
      <c r="J15" s="9">
        <v>4</v>
      </c>
      <c r="K15" s="9">
        <v>4</v>
      </c>
      <c r="L15" s="9">
        <v>4</v>
      </c>
      <c r="M15" s="9">
        <v>4</v>
      </c>
      <c r="N15" s="1">
        <f t="shared" si="0"/>
        <v>4</v>
      </c>
    </row>
    <row r="16" spans="2:14" ht="30" x14ac:dyDescent="0.25">
      <c r="B16" s="7" t="s">
        <v>3</v>
      </c>
      <c r="C16" s="8" t="s">
        <v>21</v>
      </c>
      <c r="D16" s="17">
        <v>3</v>
      </c>
      <c r="E16" s="17">
        <v>4</v>
      </c>
      <c r="F16" s="17">
        <v>3</v>
      </c>
      <c r="G16" s="17">
        <v>4</v>
      </c>
      <c r="H16" s="17">
        <v>3</v>
      </c>
      <c r="I16" s="17">
        <v>4</v>
      </c>
      <c r="J16" s="17">
        <v>3</v>
      </c>
      <c r="K16" s="17">
        <v>3</v>
      </c>
      <c r="L16" s="17">
        <v>4</v>
      </c>
      <c r="M16" s="17">
        <v>3</v>
      </c>
      <c r="N16" s="1">
        <f t="shared" si="0"/>
        <v>3.4</v>
      </c>
    </row>
    <row r="17" spans="2:14" ht="45" x14ac:dyDescent="0.25">
      <c r="B17" s="7" t="s">
        <v>5</v>
      </c>
      <c r="C17" s="8" t="s">
        <v>22</v>
      </c>
      <c r="D17" s="9">
        <v>4</v>
      </c>
      <c r="E17" s="9">
        <v>4</v>
      </c>
      <c r="F17" s="9">
        <v>4</v>
      </c>
      <c r="G17" s="9">
        <v>4</v>
      </c>
      <c r="H17" s="9">
        <v>4</v>
      </c>
      <c r="I17" s="9">
        <v>4</v>
      </c>
      <c r="J17" s="9">
        <v>4</v>
      </c>
      <c r="K17" s="9">
        <v>4</v>
      </c>
      <c r="L17" s="9">
        <v>4</v>
      </c>
      <c r="M17" s="9">
        <v>4</v>
      </c>
      <c r="N17" s="1">
        <f t="shared" si="0"/>
        <v>4</v>
      </c>
    </row>
    <row r="18" spans="2:14" x14ac:dyDescent="0.25">
      <c r="B18" s="7" t="s">
        <v>6</v>
      </c>
      <c r="C18" s="8" t="s">
        <v>23</v>
      </c>
      <c r="D18" s="17">
        <v>4</v>
      </c>
      <c r="E18" s="17">
        <v>4</v>
      </c>
      <c r="F18" s="17">
        <v>3</v>
      </c>
      <c r="G18" s="17">
        <v>4</v>
      </c>
      <c r="H18" s="17">
        <v>4</v>
      </c>
      <c r="I18" s="17">
        <v>4</v>
      </c>
      <c r="J18" s="17">
        <v>4</v>
      </c>
      <c r="K18" s="17">
        <v>3</v>
      </c>
      <c r="L18" s="17">
        <v>4</v>
      </c>
      <c r="M18" s="17">
        <v>4</v>
      </c>
      <c r="N18" s="1">
        <f t="shared" si="0"/>
        <v>3.8</v>
      </c>
    </row>
    <row r="19" spans="2:14" ht="30" x14ac:dyDescent="0.25">
      <c r="B19" s="7" t="s">
        <v>7</v>
      </c>
      <c r="C19" s="8" t="s">
        <v>24</v>
      </c>
      <c r="D19" s="4">
        <v>4</v>
      </c>
      <c r="E19" s="4">
        <v>4</v>
      </c>
      <c r="F19" s="4">
        <v>3</v>
      </c>
      <c r="G19" s="4">
        <v>4</v>
      </c>
      <c r="H19" s="4">
        <v>2</v>
      </c>
      <c r="I19" s="4">
        <v>4</v>
      </c>
      <c r="J19" s="4">
        <v>3</v>
      </c>
      <c r="K19" s="4">
        <v>3</v>
      </c>
      <c r="L19" s="4">
        <v>4</v>
      </c>
      <c r="M19" s="4">
        <v>3</v>
      </c>
      <c r="N19" s="1">
        <f t="shared" si="0"/>
        <v>3.4</v>
      </c>
    </row>
    <row r="20" spans="2:14" x14ac:dyDescent="0.25">
      <c r="B20" s="7" t="s">
        <v>8</v>
      </c>
      <c r="C20" s="8" t="s">
        <v>25</v>
      </c>
      <c r="D20" s="17">
        <v>4</v>
      </c>
      <c r="E20" s="17">
        <v>4</v>
      </c>
      <c r="F20" s="17">
        <v>3</v>
      </c>
      <c r="G20" s="17">
        <v>4</v>
      </c>
      <c r="H20" s="17">
        <v>4</v>
      </c>
      <c r="I20" s="17">
        <v>4</v>
      </c>
      <c r="J20" s="17">
        <v>4</v>
      </c>
      <c r="K20" s="17">
        <v>3</v>
      </c>
      <c r="L20" s="17">
        <v>4</v>
      </c>
      <c r="M20" s="17">
        <v>2</v>
      </c>
      <c r="N20" s="1">
        <f t="shared" si="0"/>
        <v>3.6</v>
      </c>
    </row>
    <row r="21" spans="2:14" x14ac:dyDescent="0.25">
      <c r="B21" s="7" t="s">
        <v>9</v>
      </c>
      <c r="C21" s="8" t="s">
        <v>26</v>
      </c>
      <c r="D21" s="4">
        <v>4</v>
      </c>
      <c r="E21" s="4">
        <v>3</v>
      </c>
      <c r="F21" s="4">
        <v>3</v>
      </c>
      <c r="G21" s="4">
        <v>3</v>
      </c>
      <c r="H21" s="4">
        <v>3</v>
      </c>
      <c r="I21" s="4">
        <v>3</v>
      </c>
      <c r="J21" s="4">
        <v>4</v>
      </c>
      <c r="K21" s="4">
        <v>3</v>
      </c>
      <c r="L21" s="4">
        <v>4</v>
      </c>
      <c r="M21" s="4">
        <v>3</v>
      </c>
      <c r="N21" s="1">
        <f t="shared" si="0"/>
        <v>3.3</v>
      </c>
    </row>
    <row r="22" spans="2:14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3</v>
      </c>
      <c r="L22" s="4">
        <v>4</v>
      </c>
      <c r="M22" s="4">
        <v>3</v>
      </c>
      <c r="N22" s="1">
        <f t="shared" si="0"/>
        <v>3.1</v>
      </c>
    </row>
    <row r="23" spans="2:14" x14ac:dyDescent="0.25">
      <c r="B23" s="7" t="s">
        <v>11</v>
      </c>
      <c r="C23" s="8" t="s">
        <v>28</v>
      </c>
      <c r="D23" s="4">
        <v>3</v>
      </c>
      <c r="E23" s="4">
        <v>3</v>
      </c>
      <c r="F23" s="4">
        <v>3</v>
      </c>
      <c r="G23" s="4">
        <v>3</v>
      </c>
      <c r="H23" s="4">
        <v>3</v>
      </c>
      <c r="I23" s="4">
        <v>3</v>
      </c>
      <c r="J23" s="4">
        <v>3</v>
      </c>
      <c r="K23" s="4">
        <v>3</v>
      </c>
      <c r="L23" s="4">
        <v>4</v>
      </c>
      <c r="M23" s="4">
        <v>3</v>
      </c>
      <c r="N23" s="1">
        <f t="shared" si="0"/>
        <v>3.1</v>
      </c>
    </row>
    <row r="25" spans="2:14" x14ac:dyDescent="0.25">
      <c r="B25" s="1" t="s">
        <v>12</v>
      </c>
      <c r="D25" s="1">
        <f>SUM(D12:D23)</f>
        <v>44</v>
      </c>
      <c r="E25" s="1">
        <f>SUM(E12:E23)</f>
        <v>45</v>
      </c>
      <c r="F25" s="1">
        <f t="shared" ref="F25:N25" si="1">SUM(F12:F23)</f>
        <v>40</v>
      </c>
      <c r="G25" s="1">
        <f t="shared" si="1"/>
        <v>45</v>
      </c>
      <c r="H25" s="1">
        <f t="shared" si="1"/>
        <v>41</v>
      </c>
      <c r="I25" s="1">
        <f t="shared" si="1"/>
        <v>44</v>
      </c>
      <c r="J25" s="1">
        <f t="shared" si="1"/>
        <v>44</v>
      </c>
      <c r="K25" s="1">
        <f t="shared" si="1"/>
        <v>40</v>
      </c>
      <c r="L25" s="1">
        <f t="shared" si="1"/>
        <v>48</v>
      </c>
      <c r="M25" s="1">
        <f t="shared" si="1"/>
        <v>40</v>
      </c>
      <c r="N25" s="16">
        <f t="shared" si="1"/>
        <v>43.1</v>
      </c>
    </row>
    <row r="26" spans="2:14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A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B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B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6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dataValidations count="1">
    <dataValidation type="list" allowBlank="1" showInputMessage="1" showErrorMessage="1" sqref="R18" xr:uid="{660A991A-47C7-45D0-8FF7-E72227F262EC}">
      <formula1>"On Time"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F0C0C-DBE0-489D-860E-6E62E88C2512}">
  <sheetPr codeName="Sheet7"/>
  <dimension ref="B2:T26"/>
  <sheetViews>
    <sheetView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3</v>
      </c>
      <c r="E4" s="30"/>
      <c r="F4" s="30"/>
      <c r="I4" s="26" t="s">
        <v>39</v>
      </c>
      <c r="J4" s="26"/>
      <c r="K4" s="30">
        <v>1</v>
      </c>
      <c r="L4" s="30"/>
      <c r="M4" s="30"/>
    </row>
    <row r="5" spans="2:20" ht="18.75" x14ac:dyDescent="0.25">
      <c r="C5" s="3" t="s">
        <v>31</v>
      </c>
      <c r="D5" s="31" t="s">
        <v>136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2</v>
      </c>
      <c r="E6" s="26"/>
      <c r="F6" s="26"/>
      <c r="I6" s="26" t="s">
        <v>33</v>
      </c>
      <c r="J6" s="26"/>
      <c r="K6" s="32" t="s">
        <v>145</v>
      </c>
      <c r="L6" s="32"/>
      <c r="M6" s="32"/>
    </row>
    <row r="7" spans="2:20" x14ac:dyDescent="0.25">
      <c r="C7" s="3" t="s">
        <v>34</v>
      </c>
      <c r="D7" s="25" t="s">
        <v>146</v>
      </c>
      <c r="E7" s="25"/>
      <c r="F7" s="25"/>
      <c r="I7" s="26" t="s">
        <v>35</v>
      </c>
      <c r="J7" s="26"/>
      <c r="K7" s="27" t="s">
        <v>4</v>
      </c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0" t="s">
        <v>116</v>
      </c>
      <c r="I11" s="20" t="s">
        <v>116</v>
      </c>
      <c r="J11" s="20" t="s">
        <v>116</v>
      </c>
      <c r="K11" s="20" t="s">
        <v>116</v>
      </c>
      <c r="L11" s="20" t="s">
        <v>116</v>
      </c>
      <c r="M11" s="21" t="s">
        <v>129</v>
      </c>
      <c r="N11" s="22"/>
      <c r="T11" s="3"/>
    </row>
    <row r="12" spans="2:20" ht="30" x14ac:dyDescent="0.25">
      <c r="B12" s="7" t="s">
        <v>0</v>
      </c>
      <c r="C12" s="8" t="s">
        <v>17</v>
      </c>
      <c r="D12" s="18">
        <v>3</v>
      </c>
      <c r="E12" s="18">
        <v>4</v>
      </c>
      <c r="F12" s="18">
        <v>4</v>
      </c>
      <c r="G12" s="18">
        <v>4</v>
      </c>
      <c r="H12" s="18">
        <v>4</v>
      </c>
      <c r="I12" s="18">
        <v>4</v>
      </c>
      <c r="J12" s="18">
        <v>4</v>
      </c>
      <c r="K12" s="18">
        <v>4</v>
      </c>
      <c r="L12" s="18">
        <v>4</v>
      </c>
      <c r="M12" s="18">
        <v>4</v>
      </c>
      <c r="N12" s="1">
        <f t="shared" ref="N12:N24" si="0">IFERROR(AVERAGEIFS(D12:M12,D12:M12,"&gt;0"),"")</f>
        <v>3.9</v>
      </c>
      <c r="T12" s="3"/>
    </row>
    <row r="13" spans="2:20" ht="30" x14ac:dyDescent="0.25">
      <c r="B13" s="7" t="s">
        <v>1</v>
      </c>
      <c r="C13" s="8" t="s">
        <v>18</v>
      </c>
      <c r="D13" s="18">
        <v>3</v>
      </c>
      <c r="E13" s="18">
        <v>4</v>
      </c>
      <c r="F13" s="18">
        <v>4</v>
      </c>
      <c r="G13" s="18">
        <v>4</v>
      </c>
      <c r="H13" s="18">
        <v>3</v>
      </c>
      <c r="I13" s="18">
        <v>4</v>
      </c>
      <c r="J13" s="18">
        <v>4</v>
      </c>
      <c r="K13" s="18">
        <v>4</v>
      </c>
      <c r="L13" s="18">
        <v>4</v>
      </c>
      <c r="M13" s="18">
        <v>4</v>
      </c>
      <c r="N13" s="1">
        <f t="shared" si="0"/>
        <v>3.8</v>
      </c>
      <c r="T13" s="3"/>
    </row>
    <row r="14" spans="2:20" ht="30" x14ac:dyDescent="0.25">
      <c r="B14" s="7" t="s">
        <v>2</v>
      </c>
      <c r="C14" s="8" t="s">
        <v>19</v>
      </c>
      <c r="D14" s="1">
        <v>4</v>
      </c>
      <c r="E14" s="1">
        <v>4</v>
      </c>
      <c r="F14" s="1">
        <v>4</v>
      </c>
      <c r="G14" s="1">
        <v>4</v>
      </c>
      <c r="H14" s="1">
        <v>4</v>
      </c>
      <c r="I14" s="1">
        <v>4</v>
      </c>
      <c r="J14" s="1">
        <v>4</v>
      </c>
      <c r="K14" s="1">
        <v>4</v>
      </c>
      <c r="L14" s="1">
        <v>4</v>
      </c>
      <c r="M14" s="1">
        <v>4</v>
      </c>
      <c r="N14" s="1">
        <f t="shared" si="0"/>
        <v>4</v>
      </c>
      <c r="T14" s="3"/>
    </row>
    <row r="15" spans="2:20" ht="30" x14ac:dyDescent="0.25">
      <c r="B15" s="7" t="s">
        <v>4</v>
      </c>
      <c r="C15" s="8" t="s">
        <v>20</v>
      </c>
      <c r="D15" s="9">
        <v>4</v>
      </c>
      <c r="E15" s="9">
        <v>4</v>
      </c>
      <c r="F15" s="9">
        <v>4</v>
      </c>
      <c r="G15" s="9">
        <v>4</v>
      </c>
      <c r="H15" s="9">
        <v>4</v>
      </c>
      <c r="I15" s="9">
        <v>4</v>
      </c>
      <c r="J15" s="9">
        <v>4</v>
      </c>
      <c r="K15" s="9">
        <v>4</v>
      </c>
      <c r="L15" s="9">
        <v>4</v>
      </c>
      <c r="M15" s="9">
        <v>4</v>
      </c>
      <c r="N15" s="1">
        <f t="shared" si="0"/>
        <v>4</v>
      </c>
      <c r="T15" s="3"/>
    </row>
    <row r="16" spans="2:20" ht="30" x14ac:dyDescent="0.25">
      <c r="B16" s="7" t="s">
        <v>3</v>
      </c>
      <c r="C16" s="8" t="s">
        <v>21</v>
      </c>
      <c r="D16" s="4">
        <v>3</v>
      </c>
      <c r="E16" s="4">
        <v>3</v>
      </c>
      <c r="F16" s="4">
        <v>3</v>
      </c>
      <c r="G16" s="4">
        <v>3</v>
      </c>
      <c r="H16" s="4">
        <v>2</v>
      </c>
      <c r="I16" s="4">
        <v>3</v>
      </c>
      <c r="J16" s="4">
        <v>3</v>
      </c>
      <c r="K16" s="4">
        <v>3</v>
      </c>
      <c r="L16" s="4">
        <v>3</v>
      </c>
      <c r="M16" s="4">
        <v>3</v>
      </c>
      <c r="N16" s="1">
        <f t="shared" si="0"/>
        <v>2.9</v>
      </c>
      <c r="T16" s="3"/>
    </row>
    <row r="17" spans="2:20" ht="45" x14ac:dyDescent="0.25">
      <c r="B17" s="7" t="s">
        <v>5</v>
      </c>
      <c r="C17" s="8" t="s">
        <v>22</v>
      </c>
      <c r="D17" s="4">
        <v>3</v>
      </c>
      <c r="E17" s="4">
        <v>3</v>
      </c>
      <c r="F17" s="4">
        <v>4</v>
      </c>
      <c r="G17" s="4">
        <v>3</v>
      </c>
      <c r="H17" s="4">
        <v>3</v>
      </c>
      <c r="I17" s="4">
        <v>3</v>
      </c>
      <c r="J17" s="4">
        <v>3</v>
      </c>
      <c r="K17" s="4">
        <v>3</v>
      </c>
      <c r="L17" s="4">
        <v>3</v>
      </c>
      <c r="M17" s="4">
        <v>3</v>
      </c>
      <c r="N17" s="1">
        <f t="shared" si="0"/>
        <v>3.1</v>
      </c>
      <c r="T17" s="3"/>
    </row>
    <row r="18" spans="2:20" x14ac:dyDescent="0.25">
      <c r="B18" s="7" t="s">
        <v>6</v>
      </c>
      <c r="C18" s="8" t="s">
        <v>23</v>
      </c>
      <c r="D18" s="18">
        <v>4</v>
      </c>
      <c r="E18" s="18">
        <v>4</v>
      </c>
      <c r="F18" s="18">
        <v>3</v>
      </c>
      <c r="G18" s="18">
        <v>4</v>
      </c>
      <c r="H18" s="18">
        <v>3</v>
      </c>
      <c r="I18" s="18">
        <v>4</v>
      </c>
      <c r="J18" s="18">
        <v>4</v>
      </c>
      <c r="K18" s="18">
        <v>3</v>
      </c>
      <c r="L18" s="18">
        <v>4</v>
      </c>
      <c r="M18" s="18">
        <v>4</v>
      </c>
      <c r="N18" s="1">
        <f t="shared" si="0"/>
        <v>3.7</v>
      </c>
      <c r="T18" s="3"/>
    </row>
    <row r="19" spans="2:20" ht="30" x14ac:dyDescent="0.25">
      <c r="B19" s="7" t="s">
        <v>7</v>
      </c>
      <c r="C19" s="8" t="s">
        <v>24</v>
      </c>
      <c r="D19" s="4">
        <v>3</v>
      </c>
      <c r="E19" s="4">
        <v>4</v>
      </c>
      <c r="F19" s="4">
        <v>4</v>
      </c>
      <c r="G19" s="4">
        <v>4</v>
      </c>
      <c r="H19" s="4">
        <v>2</v>
      </c>
      <c r="I19" s="4">
        <v>4</v>
      </c>
      <c r="J19" s="4">
        <v>2</v>
      </c>
      <c r="K19" s="4">
        <v>3</v>
      </c>
      <c r="L19" s="4">
        <v>4</v>
      </c>
      <c r="M19" s="4">
        <v>3</v>
      </c>
      <c r="N19" s="1">
        <f t="shared" si="0"/>
        <v>3.3</v>
      </c>
      <c r="T19" s="3"/>
    </row>
    <row r="20" spans="2:20" x14ac:dyDescent="0.25">
      <c r="B20" s="7" t="s">
        <v>8</v>
      </c>
      <c r="C20" s="8" t="s">
        <v>25</v>
      </c>
      <c r="D20" s="18">
        <v>3</v>
      </c>
      <c r="E20" s="18">
        <v>4</v>
      </c>
      <c r="F20" s="18">
        <v>3</v>
      </c>
      <c r="G20" s="18">
        <v>4</v>
      </c>
      <c r="H20" s="18">
        <v>4</v>
      </c>
      <c r="I20" s="18">
        <v>4</v>
      </c>
      <c r="J20" s="18">
        <v>3</v>
      </c>
      <c r="K20" s="18">
        <v>4</v>
      </c>
      <c r="L20" s="18">
        <v>4</v>
      </c>
      <c r="M20" s="18">
        <v>2</v>
      </c>
      <c r="N20" s="1">
        <f t="shared" si="0"/>
        <v>3.5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>
        <v>4</v>
      </c>
      <c r="I21" s="18">
        <v>4</v>
      </c>
      <c r="J21" s="18">
        <v>4</v>
      </c>
      <c r="K21" s="18">
        <v>4</v>
      </c>
      <c r="L21" s="18">
        <v>4</v>
      </c>
      <c r="M21" s="18">
        <v>4</v>
      </c>
      <c r="N21" s="1">
        <f t="shared" si="0"/>
        <v>4</v>
      </c>
      <c r="T21" s="3"/>
    </row>
    <row r="22" spans="2:20" x14ac:dyDescent="0.25">
      <c r="B22" s="7" t="s">
        <v>10</v>
      </c>
      <c r="C22" s="8" t="s">
        <v>27</v>
      </c>
      <c r="D22" s="4">
        <v>4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3</v>
      </c>
      <c r="L22" s="4">
        <v>3</v>
      </c>
      <c r="M22" s="4">
        <v>3</v>
      </c>
      <c r="N22" s="1">
        <f t="shared" si="0"/>
        <v>3.1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4</v>
      </c>
      <c r="F23" s="4">
        <v>3</v>
      </c>
      <c r="G23" s="4">
        <v>3</v>
      </c>
      <c r="H23" s="4">
        <v>3</v>
      </c>
      <c r="I23" s="4">
        <v>3</v>
      </c>
      <c r="J23" s="4">
        <v>4</v>
      </c>
      <c r="K23" s="4">
        <v>3</v>
      </c>
      <c r="L23" s="4">
        <v>4</v>
      </c>
      <c r="M23" s="4">
        <v>3</v>
      </c>
      <c r="N23" s="1">
        <f t="shared" si="0"/>
        <v>3.3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41</v>
      </c>
      <c r="E25" s="1">
        <f>SUM(E12:E23)</f>
        <v>45</v>
      </c>
      <c r="F25" s="1">
        <f t="shared" ref="F25:N25" si="1">SUM(F12:F23)</f>
        <v>43</v>
      </c>
      <c r="G25" s="1">
        <f t="shared" si="1"/>
        <v>44</v>
      </c>
      <c r="H25" s="1">
        <f t="shared" si="1"/>
        <v>39</v>
      </c>
      <c r="I25" s="1">
        <f t="shared" si="1"/>
        <v>44</v>
      </c>
      <c r="J25" s="1">
        <f t="shared" si="1"/>
        <v>42</v>
      </c>
      <c r="K25" s="1">
        <f t="shared" si="1"/>
        <v>42</v>
      </c>
      <c r="L25" s="1">
        <f t="shared" si="1"/>
        <v>45</v>
      </c>
      <c r="M25" s="1">
        <f t="shared" si="1"/>
        <v>41</v>
      </c>
      <c r="N25" s="17">
        <f t="shared" si="1"/>
        <v>42.6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B</v>
      </c>
      <c r="E26" s="1" t="str" cm="1">
        <f t="array" ref="E26">_xlfn.IFS(E25/48&gt;=0.9,"A",E25/48&gt;=0.8,"B",E25/48&gt;=0.7,"C",E25/48&gt;=0.6,"D",TRUE,"F")</f>
        <v>A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B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B</v>
      </c>
      <c r="K26" s="1" t="str" cm="1">
        <f t="array" ref="K26">_xlfn.IFS(K25/48&gt;=0.9,"A",K25/48&gt;=0.8,"B",K25/48&gt;=0.7,"C",K25/48&gt;=0.6,"D",TRUE,"F")</f>
        <v>B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7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25F0A-79E1-42F7-AF34-52E611C6E29C}">
  <sheetPr codeName="Sheet8"/>
  <dimension ref="B2:T26"/>
  <sheetViews>
    <sheetView topLeftCell="B3"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3</v>
      </c>
      <c r="E4" s="30"/>
      <c r="F4" s="30"/>
      <c r="I4" s="26" t="s">
        <v>39</v>
      </c>
      <c r="J4" s="26"/>
      <c r="K4" s="30">
        <v>2</v>
      </c>
      <c r="L4" s="30"/>
      <c r="M4" s="30"/>
    </row>
    <row r="5" spans="2:20" ht="18.75" x14ac:dyDescent="0.25">
      <c r="C5" s="3" t="s">
        <v>31</v>
      </c>
      <c r="D5" s="31" t="s">
        <v>135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2</v>
      </c>
      <c r="E6" s="26"/>
      <c r="F6" s="26"/>
      <c r="I6" s="26" t="s">
        <v>33</v>
      </c>
      <c r="J6" s="26"/>
      <c r="K6" s="32" t="s">
        <v>147</v>
      </c>
      <c r="L6" s="32"/>
      <c r="M6" s="32"/>
    </row>
    <row r="7" spans="2:20" x14ac:dyDescent="0.25">
      <c r="C7" s="3" t="s">
        <v>34</v>
      </c>
      <c r="D7" s="25" t="s">
        <v>146</v>
      </c>
      <c r="E7" s="25"/>
      <c r="F7" s="25"/>
      <c r="I7" s="26" t="s">
        <v>35</v>
      </c>
      <c r="J7" s="26"/>
      <c r="K7" s="27"/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0" t="s">
        <v>116</v>
      </c>
      <c r="I11" s="20" t="s">
        <v>116</v>
      </c>
      <c r="J11" s="20" t="s">
        <v>116</v>
      </c>
      <c r="K11" s="20" t="s">
        <v>116</v>
      </c>
      <c r="L11" s="20" t="s">
        <v>116</v>
      </c>
      <c r="M11" s="20" t="s">
        <v>116</v>
      </c>
      <c r="N11" s="22"/>
      <c r="T11" s="3"/>
    </row>
    <row r="12" spans="2:20" ht="30" x14ac:dyDescent="0.25">
      <c r="B12" s="7" t="s">
        <v>0</v>
      </c>
      <c r="C12" s="8" t="s">
        <v>17</v>
      </c>
      <c r="D12" s="18">
        <v>4</v>
      </c>
      <c r="E12" s="18">
        <v>4</v>
      </c>
      <c r="F12" s="18">
        <v>4</v>
      </c>
      <c r="G12" s="18">
        <v>4</v>
      </c>
      <c r="H12" s="18">
        <v>4</v>
      </c>
      <c r="I12" s="18">
        <v>4</v>
      </c>
      <c r="J12" s="18">
        <v>4</v>
      </c>
      <c r="K12" s="18">
        <v>4</v>
      </c>
      <c r="L12" s="18">
        <v>4</v>
      </c>
      <c r="M12" s="18">
        <v>4</v>
      </c>
      <c r="N12" s="1">
        <f t="shared" ref="N12:N24" si="0">IFERROR(AVERAGEIFS(D12:M12,D12:M12,"&gt;0"),"")</f>
        <v>4</v>
      </c>
      <c r="T12" s="3"/>
    </row>
    <row r="13" spans="2:20" ht="30" x14ac:dyDescent="0.25">
      <c r="B13" s="7" t="s">
        <v>1</v>
      </c>
      <c r="C13" s="8" t="s">
        <v>18</v>
      </c>
      <c r="D13" s="18">
        <v>4</v>
      </c>
      <c r="E13" s="18">
        <v>4</v>
      </c>
      <c r="F13" s="18">
        <v>4</v>
      </c>
      <c r="G13" s="18">
        <v>4</v>
      </c>
      <c r="H13" s="18">
        <v>3</v>
      </c>
      <c r="I13" s="18">
        <v>4</v>
      </c>
      <c r="J13" s="18">
        <v>4</v>
      </c>
      <c r="K13" s="18">
        <v>4</v>
      </c>
      <c r="L13" s="18">
        <v>4</v>
      </c>
      <c r="M13" s="18">
        <v>4</v>
      </c>
      <c r="N13" s="1">
        <f t="shared" si="0"/>
        <v>3.9</v>
      </c>
      <c r="T13" s="3"/>
    </row>
    <row r="14" spans="2:20" ht="30" x14ac:dyDescent="0.25">
      <c r="B14" s="7" t="s">
        <v>2</v>
      </c>
      <c r="C14" s="8" t="s">
        <v>19</v>
      </c>
      <c r="D14" s="1">
        <v>4</v>
      </c>
      <c r="E14" s="1">
        <v>4</v>
      </c>
      <c r="F14" s="1">
        <v>4</v>
      </c>
      <c r="G14" s="1">
        <v>4</v>
      </c>
      <c r="H14" s="1">
        <v>4</v>
      </c>
      <c r="I14" s="1">
        <v>4</v>
      </c>
      <c r="J14" s="1">
        <v>4</v>
      </c>
      <c r="K14" s="1">
        <v>4</v>
      </c>
      <c r="L14" s="1">
        <v>4</v>
      </c>
      <c r="M14" s="1">
        <v>4</v>
      </c>
      <c r="N14" s="1">
        <f t="shared" si="0"/>
        <v>4</v>
      </c>
      <c r="T14" s="3"/>
    </row>
    <row r="15" spans="2:20" ht="30" x14ac:dyDescent="0.25">
      <c r="B15" s="7" t="s">
        <v>4</v>
      </c>
      <c r="C15" s="8" t="s">
        <v>20</v>
      </c>
      <c r="D15" s="18">
        <v>3</v>
      </c>
      <c r="E15" s="18">
        <v>3</v>
      </c>
      <c r="F15" s="18">
        <v>4</v>
      </c>
      <c r="G15" s="18">
        <v>4</v>
      </c>
      <c r="H15" s="18">
        <v>3</v>
      </c>
      <c r="I15" s="18">
        <v>4</v>
      </c>
      <c r="J15" s="18">
        <v>4</v>
      </c>
      <c r="K15" s="18">
        <v>4</v>
      </c>
      <c r="L15" s="18">
        <v>4</v>
      </c>
      <c r="M15" s="18">
        <v>4</v>
      </c>
      <c r="N15" s="1">
        <f t="shared" si="0"/>
        <v>3.7</v>
      </c>
      <c r="T15" s="3"/>
    </row>
    <row r="16" spans="2:20" ht="30" x14ac:dyDescent="0.25">
      <c r="B16" s="7" t="s">
        <v>3</v>
      </c>
      <c r="C16" s="8" t="s">
        <v>21</v>
      </c>
      <c r="D16" s="4">
        <v>4</v>
      </c>
      <c r="E16" s="4">
        <v>3</v>
      </c>
      <c r="F16" s="4">
        <v>4</v>
      </c>
      <c r="G16" s="4">
        <v>3</v>
      </c>
      <c r="H16" s="4">
        <v>3</v>
      </c>
      <c r="I16" s="4">
        <v>3</v>
      </c>
      <c r="J16" s="4">
        <v>3</v>
      </c>
      <c r="K16" s="4">
        <v>3</v>
      </c>
      <c r="L16" s="4">
        <v>4</v>
      </c>
      <c r="M16" s="4">
        <v>3</v>
      </c>
      <c r="N16" s="1">
        <f t="shared" si="0"/>
        <v>3.3</v>
      </c>
      <c r="T16" s="3"/>
    </row>
    <row r="17" spans="2:20" ht="45" x14ac:dyDescent="0.25">
      <c r="B17" s="7" t="s">
        <v>5</v>
      </c>
      <c r="C17" s="8" t="s">
        <v>22</v>
      </c>
      <c r="D17" s="4">
        <v>3</v>
      </c>
      <c r="E17" s="4">
        <v>3</v>
      </c>
      <c r="F17" s="4">
        <v>4</v>
      </c>
      <c r="G17" s="4">
        <v>3</v>
      </c>
      <c r="H17" s="4">
        <v>3</v>
      </c>
      <c r="I17" s="4">
        <v>3</v>
      </c>
      <c r="J17" s="4">
        <v>3</v>
      </c>
      <c r="K17" s="4">
        <v>3</v>
      </c>
      <c r="L17" s="4">
        <v>3</v>
      </c>
      <c r="M17" s="4">
        <v>3</v>
      </c>
      <c r="N17" s="1">
        <f t="shared" si="0"/>
        <v>3.1</v>
      </c>
      <c r="T17" s="3"/>
    </row>
    <row r="18" spans="2:20" x14ac:dyDescent="0.25">
      <c r="B18" s="7" t="s">
        <v>6</v>
      </c>
      <c r="C18" s="8" t="s">
        <v>23</v>
      </c>
      <c r="D18" s="18">
        <v>4</v>
      </c>
      <c r="E18" s="18">
        <v>4</v>
      </c>
      <c r="F18" s="18">
        <v>3</v>
      </c>
      <c r="G18" s="18">
        <v>4</v>
      </c>
      <c r="H18" s="18">
        <v>3</v>
      </c>
      <c r="I18" s="18">
        <v>3</v>
      </c>
      <c r="J18" s="18">
        <v>4</v>
      </c>
      <c r="K18" s="18">
        <v>4</v>
      </c>
      <c r="L18" s="18">
        <v>4</v>
      </c>
      <c r="M18" s="18">
        <v>4</v>
      </c>
      <c r="N18" s="1">
        <f t="shared" si="0"/>
        <v>3.7</v>
      </c>
      <c r="T18" s="3"/>
    </row>
    <row r="19" spans="2:20" ht="30" x14ac:dyDescent="0.25">
      <c r="B19" s="7" t="s">
        <v>7</v>
      </c>
      <c r="C19" s="8" t="s">
        <v>24</v>
      </c>
      <c r="D19" s="4">
        <v>4</v>
      </c>
      <c r="E19" s="4">
        <v>4</v>
      </c>
      <c r="F19" s="4">
        <v>3</v>
      </c>
      <c r="G19" s="4">
        <v>4</v>
      </c>
      <c r="H19" s="4">
        <v>3</v>
      </c>
      <c r="I19" s="4">
        <v>4</v>
      </c>
      <c r="J19" s="4">
        <v>4</v>
      </c>
      <c r="K19" s="4">
        <v>4</v>
      </c>
      <c r="L19" s="4">
        <v>4</v>
      </c>
      <c r="M19" s="4">
        <v>3</v>
      </c>
      <c r="N19" s="1">
        <f t="shared" si="0"/>
        <v>3.7</v>
      </c>
      <c r="T19" s="3"/>
    </row>
    <row r="20" spans="2:20" x14ac:dyDescent="0.25">
      <c r="B20" s="7" t="s">
        <v>8</v>
      </c>
      <c r="C20" s="8" t="s">
        <v>25</v>
      </c>
      <c r="D20" s="18">
        <v>3</v>
      </c>
      <c r="E20" s="18">
        <v>4</v>
      </c>
      <c r="F20" s="18">
        <v>4</v>
      </c>
      <c r="G20" s="18">
        <v>4</v>
      </c>
      <c r="H20" s="18">
        <v>3</v>
      </c>
      <c r="I20" s="18">
        <v>4</v>
      </c>
      <c r="J20" s="18">
        <v>4</v>
      </c>
      <c r="K20" s="18">
        <v>4</v>
      </c>
      <c r="L20" s="18">
        <v>4</v>
      </c>
      <c r="M20" s="18">
        <v>3</v>
      </c>
      <c r="N20" s="1">
        <f t="shared" si="0"/>
        <v>3.7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>
        <v>4</v>
      </c>
      <c r="I21" s="18">
        <v>3</v>
      </c>
      <c r="J21" s="18">
        <v>4</v>
      </c>
      <c r="K21" s="18">
        <v>4</v>
      </c>
      <c r="L21" s="18">
        <v>4</v>
      </c>
      <c r="M21" s="18">
        <v>3</v>
      </c>
      <c r="N21" s="1">
        <f t="shared" si="0"/>
        <v>3.8</v>
      </c>
      <c r="T21" s="3"/>
    </row>
    <row r="22" spans="2:20" x14ac:dyDescent="0.25">
      <c r="B22" s="7" t="s">
        <v>10</v>
      </c>
      <c r="C22" s="8" t="s">
        <v>27</v>
      </c>
      <c r="D22" s="4">
        <v>4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3</v>
      </c>
      <c r="L22" s="4">
        <v>3</v>
      </c>
      <c r="M22" s="4">
        <v>3</v>
      </c>
      <c r="N22" s="1">
        <f t="shared" si="0"/>
        <v>3.1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4</v>
      </c>
      <c r="F23" s="4">
        <v>3</v>
      </c>
      <c r="G23" s="4">
        <v>4</v>
      </c>
      <c r="H23" s="4">
        <v>3</v>
      </c>
      <c r="I23" s="4">
        <v>3</v>
      </c>
      <c r="J23" s="4">
        <v>3</v>
      </c>
      <c r="K23" s="4">
        <v>3</v>
      </c>
      <c r="L23" s="4">
        <v>4</v>
      </c>
      <c r="M23" s="4">
        <v>3</v>
      </c>
      <c r="N23" s="1">
        <f t="shared" si="0"/>
        <v>3.3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44</v>
      </c>
      <c r="F25" s="1">
        <f t="shared" ref="F25:N25" si="1">SUM(F12:F23)</f>
        <v>44</v>
      </c>
      <c r="G25" s="1">
        <f t="shared" si="1"/>
        <v>45</v>
      </c>
      <c r="H25" s="1">
        <f t="shared" si="1"/>
        <v>39</v>
      </c>
      <c r="I25" s="1">
        <f t="shared" si="1"/>
        <v>42</v>
      </c>
      <c r="J25" s="1">
        <f t="shared" si="1"/>
        <v>44</v>
      </c>
      <c r="K25" s="1">
        <f t="shared" si="1"/>
        <v>44</v>
      </c>
      <c r="L25" s="1">
        <f t="shared" si="1"/>
        <v>46</v>
      </c>
      <c r="M25" s="1">
        <f t="shared" si="1"/>
        <v>41</v>
      </c>
      <c r="N25" s="17">
        <f t="shared" si="1"/>
        <v>43.3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A</v>
      </c>
      <c r="F26" s="1" t="str" cm="1">
        <f t="array" ref="F26">_xlfn.IFS(F25/48&gt;=0.9,"A",F25/48&gt;=0.8,"B",F25/48&gt;=0.7,"C",F25/48&gt;=0.6,"D",TRUE,"F")</f>
        <v>A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B</v>
      </c>
      <c r="I26" s="1" t="str" cm="1">
        <f t="array" ref="I26">_xlfn.IFS(I25/48&gt;=0.9,"A",I25/48&gt;=0.8,"B",I25/48&gt;=0.7,"C",I25/48&gt;=0.6,"D",TRUE,"F")</f>
        <v>B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A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7" t="str" cm="1">
        <f t="array" ref="N26">_xlfn.IFS(N25/48&gt;=0.9,"A",N25/48&gt;=0.8,"B",N25/48&gt;=0.7,"C",N25/48&gt;=0.6,"D",TRUE,"F")</f>
        <v>A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A3DD-7F87-47EE-8022-FD0FB62FC81F}">
  <sheetPr codeName="Sheet9"/>
  <dimension ref="B2:T26"/>
  <sheetViews>
    <sheetView tabSelected="1" topLeftCell="A3"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4</v>
      </c>
      <c r="E4" s="30"/>
      <c r="F4" s="30"/>
      <c r="I4" s="26" t="s">
        <v>39</v>
      </c>
      <c r="J4" s="26"/>
      <c r="K4" s="30">
        <v>1</v>
      </c>
      <c r="L4" s="30"/>
      <c r="M4" s="30"/>
    </row>
    <row r="5" spans="2:20" ht="18.75" x14ac:dyDescent="0.25">
      <c r="C5" s="3" t="s">
        <v>31</v>
      </c>
      <c r="D5" s="31" t="s">
        <v>137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140</v>
      </c>
      <c r="E6" s="26"/>
      <c r="F6" s="26"/>
      <c r="I6" s="26" t="s">
        <v>33</v>
      </c>
      <c r="J6" s="26"/>
      <c r="K6" s="32" t="s">
        <v>141</v>
      </c>
      <c r="L6" s="32"/>
      <c r="M6" s="32"/>
    </row>
    <row r="7" spans="2:20" x14ac:dyDescent="0.25">
      <c r="C7" s="3" t="s">
        <v>34</v>
      </c>
      <c r="D7" s="25" t="s">
        <v>142</v>
      </c>
      <c r="E7" s="25"/>
      <c r="F7" s="25"/>
      <c r="I7" s="26" t="s">
        <v>35</v>
      </c>
      <c r="J7" s="26"/>
      <c r="K7" s="27" t="s">
        <v>4</v>
      </c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3" t="s">
        <v>131</v>
      </c>
      <c r="I11" s="20" t="s">
        <v>116</v>
      </c>
      <c r="J11" s="20" t="s">
        <v>116</v>
      </c>
      <c r="K11" s="23" t="s">
        <v>131</v>
      </c>
      <c r="L11" s="20" t="s">
        <v>116</v>
      </c>
      <c r="M11" s="21" t="s">
        <v>129</v>
      </c>
      <c r="N11" s="22"/>
      <c r="T11" s="3"/>
    </row>
    <row r="12" spans="2:20" ht="30" x14ac:dyDescent="0.25">
      <c r="B12" s="7" t="s">
        <v>0</v>
      </c>
      <c r="C12" s="8" t="s">
        <v>17</v>
      </c>
      <c r="D12" s="4">
        <v>4</v>
      </c>
      <c r="E12" s="4">
        <v>3</v>
      </c>
      <c r="F12" s="4">
        <v>3</v>
      </c>
      <c r="G12" s="4">
        <v>4</v>
      </c>
      <c r="H12" s="4">
        <v>0</v>
      </c>
      <c r="I12" s="4">
        <v>4</v>
      </c>
      <c r="J12" s="4">
        <v>4</v>
      </c>
      <c r="K12" s="4">
        <v>0</v>
      </c>
      <c r="L12" s="4">
        <v>4</v>
      </c>
      <c r="M12" s="4">
        <v>4</v>
      </c>
      <c r="N12" s="1">
        <f t="shared" ref="N12:N24" si="0">IFERROR(AVERAGEIFS(D12:M12,D12:M12,"&gt;0"),"")</f>
        <v>3.75</v>
      </c>
      <c r="T12" s="3"/>
    </row>
    <row r="13" spans="2:20" ht="30" x14ac:dyDescent="0.25">
      <c r="B13" s="7" t="s">
        <v>1</v>
      </c>
      <c r="C13" s="8" t="s">
        <v>18</v>
      </c>
      <c r="D13" s="4">
        <v>4</v>
      </c>
      <c r="E13" s="4">
        <v>4</v>
      </c>
      <c r="F13" s="4">
        <v>3</v>
      </c>
      <c r="G13" s="4">
        <v>4</v>
      </c>
      <c r="H13" s="4">
        <v>0</v>
      </c>
      <c r="I13" s="4">
        <v>4</v>
      </c>
      <c r="J13" s="4">
        <v>4</v>
      </c>
      <c r="K13" s="4">
        <v>0</v>
      </c>
      <c r="L13" s="4">
        <v>4</v>
      </c>
      <c r="M13" s="4">
        <v>3</v>
      </c>
      <c r="N13" s="1">
        <f t="shared" si="0"/>
        <v>3.75</v>
      </c>
      <c r="T13" s="3"/>
    </row>
    <row r="14" spans="2:20" ht="30" x14ac:dyDescent="0.25">
      <c r="B14" s="7" t="s">
        <v>2</v>
      </c>
      <c r="C14" s="8" t="s">
        <v>19</v>
      </c>
      <c r="D14" s="4">
        <v>4</v>
      </c>
      <c r="E14" s="4">
        <v>3</v>
      </c>
      <c r="F14" s="4">
        <v>3</v>
      </c>
      <c r="G14" s="4">
        <v>4</v>
      </c>
      <c r="H14" s="4">
        <v>0</v>
      </c>
      <c r="I14" s="4">
        <v>4</v>
      </c>
      <c r="J14" s="4">
        <v>4</v>
      </c>
      <c r="K14" s="4">
        <v>0</v>
      </c>
      <c r="L14" s="4">
        <v>4</v>
      </c>
      <c r="M14" s="4">
        <v>3</v>
      </c>
      <c r="N14" s="1">
        <f t="shared" si="0"/>
        <v>3.625</v>
      </c>
      <c r="T14" s="3"/>
    </row>
    <row r="15" spans="2:20" ht="30" x14ac:dyDescent="0.25">
      <c r="B15" s="7" t="s">
        <v>4</v>
      </c>
      <c r="C15" s="8" t="s">
        <v>20</v>
      </c>
      <c r="D15" s="9">
        <v>4</v>
      </c>
      <c r="E15" s="9">
        <v>4</v>
      </c>
      <c r="F15" s="9">
        <v>4</v>
      </c>
      <c r="G15" s="9">
        <v>4</v>
      </c>
      <c r="H15" s="9">
        <v>0</v>
      </c>
      <c r="I15" s="9">
        <v>4</v>
      </c>
      <c r="J15" s="9">
        <v>4</v>
      </c>
      <c r="K15" s="9">
        <v>0</v>
      </c>
      <c r="L15" s="9">
        <v>4</v>
      </c>
      <c r="M15" s="9">
        <v>4</v>
      </c>
      <c r="N15" s="1">
        <f t="shared" si="0"/>
        <v>4</v>
      </c>
      <c r="T15" s="3"/>
    </row>
    <row r="16" spans="2:20" ht="30" x14ac:dyDescent="0.25">
      <c r="B16" s="7" t="s">
        <v>3</v>
      </c>
      <c r="C16" s="8" t="s">
        <v>21</v>
      </c>
      <c r="D16" s="1">
        <v>4</v>
      </c>
      <c r="E16" s="1">
        <v>4</v>
      </c>
      <c r="F16" s="1">
        <v>4</v>
      </c>
      <c r="G16" s="1">
        <v>4</v>
      </c>
      <c r="H16" s="1">
        <v>0</v>
      </c>
      <c r="I16" s="1">
        <v>4</v>
      </c>
      <c r="J16" s="1">
        <v>3</v>
      </c>
      <c r="K16" s="1">
        <v>0</v>
      </c>
      <c r="L16" s="1">
        <v>4</v>
      </c>
      <c r="M16" s="1">
        <v>1</v>
      </c>
      <c r="N16" s="1">
        <f t="shared" si="0"/>
        <v>3.5</v>
      </c>
      <c r="T16" s="3"/>
    </row>
    <row r="17" spans="2:20" ht="45" x14ac:dyDescent="0.25">
      <c r="B17" s="7" t="s">
        <v>5</v>
      </c>
      <c r="C17" s="8" t="s">
        <v>22</v>
      </c>
      <c r="D17" s="18">
        <v>3</v>
      </c>
      <c r="E17" s="18">
        <v>3</v>
      </c>
      <c r="F17" s="18">
        <v>4</v>
      </c>
      <c r="G17" s="18">
        <v>3</v>
      </c>
      <c r="H17" s="18">
        <v>0</v>
      </c>
      <c r="I17" s="18">
        <v>3</v>
      </c>
      <c r="J17" s="18">
        <v>3</v>
      </c>
      <c r="K17" s="18">
        <v>0</v>
      </c>
      <c r="L17" s="18">
        <v>3</v>
      </c>
      <c r="M17" s="18">
        <v>3</v>
      </c>
      <c r="N17" s="1">
        <f t="shared" si="0"/>
        <v>3.125</v>
      </c>
      <c r="T17" s="3"/>
    </row>
    <row r="18" spans="2:20" x14ac:dyDescent="0.25">
      <c r="B18" s="7" t="s">
        <v>6</v>
      </c>
      <c r="C18" s="8" t="s">
        <v>23</v>
      </c>
      <c r="D18" s="1">
        <v>4</v>
      </c>
      <c r="E18" s="1">
        <v>4</v>
      </c>
      <c r="F18" s="1">
        <v>3</v>
      </c>
      <c r="G18" s="1">
        <v>4</v>
      </c>
      <c r="H18" s="1">
        <v>0</v>
      </c>
      <c r="I18" s="1">
        <v>4</v>
      </c>
      <c r="J18" s="1">
        <v>4</v>
      </c>
      <c r="K18" s="1">
        <v>0</v>
      </c>
      <c r="L18" s="1">
        <v>4</v>
      </c>
      <c r="M18" s="1">
        <v>2</v>
      </c>
      <c r="N18" s="1">
        <f t="shared" si="0"/>
        <v>3.625</v>
      </c>
      <c r="T18" s="3"/>
    </row>
    <row r="19" spans="2:20" ht="30" x14ac:dyDescent="0.25">
      <c r="B19" s="7" t="s">
        <v>7</v>
      </c>
      <c r="C19" s="8" t="s">
        <v>24</v>
      </c>
      <c r="D19" s="1">
        <v>4</v>
      </c>
      <c r="E19" s="1">
        <v>3</v>
      </c>
      <c r="F19" s="1">
        <v>3</v>
      </c>
      <c r="G19" s="1">
        <v>4</v>
      </c>
      <c r="H19" s="1">
        <v>0</v>
      </c>
      <c r="I19" s="1">
        <v>4</v>
      </c>
      <c r="J19" s="1">
        <v>4</v>
      </c>
      <c r="K19" s="1">
        <v>0</v>
      </c>
      <c r="L19" s="1">
        <v>4</v>
      </c>
      <c r="M19" s="1">
        <v>2</v>
      </c>
      <c r="N19" s="1">
        <f t="shared" si="0"/>
        <v>3.5</v>
      </c>
      <c r="T19" s="3"/>
    </row>
    <row r="20" spans="2:20" x14ac:dyDescent="0.25">
      <c r="B20" s="7" t="s">
        <v>8</v>
      </c>
      <c r="C20" s="8" t="s">
        <v>25</v>
      </c>
      <c r="D20" s="4">
        <v>3</v>
      </c>
      <c r="E20" s="4">
        <v>3</v>
      </c>
      <c r="F20" s="4">
        <v>3</v>
      </c>
      <c r="G20" s="4">
        <v>3</v>
      </c>
      <c r="H20" s="4">
        <v>0</v>
      </c>
      <c r="I20" s="4">
        <v>4</v>
      </c>
      <c r="J20" s="4">
        <v>3</v>
      </c>
      <c r="K20" s="4">
        <v>0</v>
      </c>
      <c r="L20" s="4">
        <v>4</v>
      </c>
      <c r="M20" s="4">
        <v>3</v>
      </c>
      <c r="N20" s="1">
        <f t="shared" si="0"/>
        <v>3.25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>
        <v>0</v>
      </c>
      <c r="I21" s="18">
        <v>4</v>
      </c>
      <c r="J21" s="18">
        <v>4</v>
      </c>
      <c r="K21" s="18">
        <v>0</v>
      </c>
      <c r="L21" s="18">
        <v>4</v>
      </c>
      <c r="M21" s="18">
        <v>3</v>
      </c>
      <c r="N21" s="1">
        <f t="shared" si="0"/>
        <v>3.875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0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4</v>
      </c>
      <c r="F23" s="4">
        <v>3</v>
      </c>
      <c r="G23" s="4">
        <v>4</v>
      </c>
      <c r="H23" s="4">
        <v>0</v>
      </c>
      <c r="I23" s="4">
        <v>3</v>
      </c>
      <c r="J23" s="4">
        <v>4</v>
      </c>
      <c r="K23" s="4">
        <v>0</v>
      </c>
      <c r="L23" s="4">
        <v>3</v>
      </c>
      <c r="M23" s="4">
        <v>3</v>
      </c>
      <c r="N23" s="1">
        <f t="shared" si="0"/>
        <v>3.375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42</v>
      </c>
      <c r="F25" s="1">
        <f t="shared" ref="F25:N25" si="1">SUM(F12:F23)</f>
        <v>40</v>
      </c>
      <c r="G25" s="1">
        <f t="shared" si="1"/>
        <v>45</v>
      </c>
      <c r="H25" s="1">
        <f t="shared" si="1"/>
        <v>0</v>
      </c>
      <c r="I25" s="1">
        <f t="shared" si="1"/>
        <v>45</v>
      </c>
      <c r="J25" s="1">
        <f t="shared" si="1"/>
        <v>44</v>
      </c>
      <c r="K25" s="1">
        <f t="shared" si="1"/>
        <v>0</v>
      </c>
      <c r="L25" s="1">
        <f t="shared" si="1"/>
        <v>45</v>
      </c>
      <c r="M25" s="1">
        <f t="shared" si="1"/>
        <v>34</v>
      </c>
      <c r="N25" s="17">
        <f t="shared" si="1"/>
        <v>42.375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B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F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C</v>
      </c>
      <c r="N26" s="17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7848A-CEBC-4FDD-9656-24054A6067D9}">
  <sheetPr codeName="Sheet10"/>
  <dimension ref="B2:T26"/>
  <sheetViews>
    <sheetView topLeftCell="A6"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4</v>
      </c>
      <c r="E4" s="30"/>
      <c r="F4" s="30"/>
      <c r="I4" s="26" t="s">
        <v>39</v>
      </c>
      <c r="J4" s="26"/>
      <c r="K4" s="30">
        <v>2</v>
      </c>
      <c r="L4" s="30"/>
      <c r="M4" s="30"/>
    </row>
    <row r="5" spans="2:20" ht="18.75" x14ac:dyDescent="0.25">
      <c r="C5" s="3" t="s">
        <v>31</v>
      </c>
      <c r="D5" s="31" t="s">
        <v>169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2</v>
      </c>
      <c r="E6" s="26"/>
      <c r="F6" s="26"/>
      <c r="I6" s="26" t="s">
        <v>33</v>
      </c>
      <c r="J6" s="26"/>
      <c r="K6" s="32" t="s">
        <v>143</v>
      </c>
      <c r="L6" s="32"/>
      <c r="M6" s="32"/>
    </row>
    <row r="7" spans="2:20" x14ac:dyDescent="0.25">
      <c r="C7" s="3" t="s">
        <v>34</v>
      </c>
      <c r="D7" s="25" t="s">
        <v>144</v>
      </c>
      <c r="E7" s="25"/>
      <c r="F7" s="25"/>
      <c r="I7" s="26" t="s">
        <v>35</v>
      </c>
      <c r="J7" s="26"/>
      <c r="K7" s="27"/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3" t="s">
        <v>131</v>
      </c>
      <c r="I11" s="20" t="s">
        <v>116</v>
      </c>
      <c r="J11" s="20" t="s">
        <v>116</v>
      </c>
      <c r="K11" s="23" t="s">
        <v>131</v>
      </c>
      <c r="L11" s="20" t="s">
        <v>116</v>
      </c>
      <c r="M11" s="21" t="s">
        <v>129</v>
      </c>
      <c r="T11" s="3"/>
    </row>
    <row r="12" spans="2:20" ht="30" x14ac:dyDescent="0.25">
      <c r="B12" s="7" t="s">
        <v>0</v>
      </c>
      <c r="C12" s="8" t="s">
        <v>17</v>
      </c>
      <c r="D12" s="4">
        <v>3</v>
      </c>
      <c r="E12" s="4">
        <v>4</v>
      </c>
      <c r="F12" s="4">
        <v>4</v>
      </c>
      <c r="G12" s="4">
        <v>4</v>
      </c>
      <c r="H12" s="4">
        <v>0</v>
      </c>
      <c r="I12" s="4">
        <v>4</v>
      </c>
      <c r="J12" s="4">
        <v>4</v>
      </c>
      <c r="K12" s="4">
        <v>0</v>
      </c>
      <c r="L12" s="4">
        <v>4</v>
      </c>
      <c r="M12" s="4">
        <v>4</v>
      </c>
      <c r="N12" s="1">
        <f t="shared" ref="N12:N24" si="0">IFERROR(AVERAGEIFS(D12:M12,D12:M12,"&gt;0"),"")</f>
        <v>3.875</v>
      </c>
      <c r="T12" s="3"/>
    </row>
    <row r="13" spans="2:20" ht="30" x14ac:dyDescent="0.25">
      <c r="B13" s="7" t="s">
        <v>1</v>
      </c>
      <c r="C13" s="8" t="s">
        <v>18</v>
      </c>
      <c r="D13" s="4">
        <v>3</v>
      </c>
      <c r="E13" s="4">
        <v>3</v>
      </c>
      <c r="F13" s="4">
        <v>4</v>
      </c>
      <c r="G13" s="4">
        <v>3</v>
      </c>
      <c r="H13" s="4">
        <v>0</v>
      </c>
      <c r="I13" s="4">
        <v>4</v>
      </c>
      <c r="J13" s="4">
        <v>4</v>
      </c>
      <c r="K13" s="4">
        <v>0</v>
      </c>
      <c r="L13" s="4">
        <v>4</v>
      </c>
      <c r="M13" s="4">
        <v>4</v>
      </c>
      <c r="N13" s="1">
        <f t="shared" si="0"/>
        <v>3.625</v>
      </c>
      <c r="T13" s="3"/>
    </row>
    <row r="14" spans="2:20" ht="30" x14ac:dyDescent="0.25">
      <c r="B14" s="7" t="s">
        <v>2</v>
      </c>
      <c r="C14" s="8" t="s">
        <v>19</v>
      </c>
      <c r="D14" s="1">
        <v>4</v>
      </c>
      <c r="E14" s="1">
        <v>4</v>
      </c>
      <c r="F14" s="1">
        <v>4</v>
      </c>
      <c r="G14" s="1">
        <v>4</v>
      </c>
      <c r="H14" s="1">
        <v>0</v>
      </c>
      <c r="I14" s="1">
        <v>4</v>
      </c>
      <c r="J14" s="1">
        <v>4</v>
      </c>
      <c r="K14" s="1">
        <v>0</v>
      </c>
      <c r="L14" s="1">
        <v>4</v>
      </c>
      <c r="M14" s="1">
        <v>4</v>
      </c>
      <c r="N14" s="1">
        <f t="shared" si="0"/>
        <v>4</v>
      </c>
      <c r="T14" s="3"/>
    </row>
    <row r="15" spans="2:20" ht="30" x14ac:dyDescent="0.25">
      <c r="B15" s="7" t="s">
        <v>4</v>
      </c>
      <c r="C15" s="8" t="s">
        <v>20</v>
      </c>
      <c r="D15" s="4">
        <v>3</v>
      </c>
      <c r="E15" s="4">
        <v>3</v>
      </c>
      <c r="F15" s="4">
        <v>3</v>
      </c>
      <c r="G15" s="4">
        <v>3</v>
      </c>
      <c r="H15" s="4">
        <v>0</v>
      </c>
      <c r="I15" s="4">
        <v>4</v>
      </c>
      <c r="J15" s="4">
        <v>4</v>
      </c>
      <c r="K15" s="4">
        <v>0</v>
      </c>
      <c r="L15" s="4">
        <v>4</v>
      </c>
      <c r="M15" s="4">
        <v>3</v>
      </c>
      <c r="N15" s="1">
        <f t="shared" si="0"/>
        <v>3.375</v>
      </c>
      <c r="T15" s="3"/>
    </row>
    <row r="16" spans="2:20" ht="30" x14ac:dyDescent="0.25">
      <c r="B16" s="7" t="s">
        <v>3</v>
      </c>
      <c r="C16" s="8" t="s">
        <v>21</v>
      </c>
      <c r="D16" s="4">
        <v>3</v>
      </c>
      <c r="E16" s="4">
        <v>2</v>
      </c>
      <c r="F16" s="4">
        <v>3</v>
      </c>
      <c r="G16" s="4">
        <v>3</v>
      </c>
      <c r="H16" s="4">
        <v>0</v>
      </c>
      <c r="I16" s="4">
        <v>4</v>
      </c>
      <c r="J16" s="4">
        <v>3</v>
      </c>
      <c r="K16" s="4">
        <v>0</v>
      </c>
      <c r="L16" s="4">
        <v>3</v>
      </c>
      <c r="M16" s="4">
        <v>3</v>
      </c>
      <c r="N16" s="1">
        <f t="shared" si="0"/>
        <v>3</v>
      </c>
      <c r="T16" s="3"/>
    </row>
    <row r="17" spans="2:20" ht="45" x14ac:dyDescent="0.25">
      <c r="B17" s="7" t="s">
        <v>5</v>
      </c>
      <c r="C17" s="8" t="s">
        <v>22</v>
      </c>
      <c r="D17" s="18">
        <v>3</v>
      </c>
      <c r="E17" s="18">
        <v>3</v>
      </c>
      <c r="F17" s="18">
        <v>4</v>
      </c>
      <c r="G17" s="18">
        <v>3</v>
      </c>
      <c r="H17" s="18">
        <v>0</v>
      </c>
      <c r="I17" s="18">
        <v>3</v>
      </c>
      <c r="J17" s="18">
        <v>3</v>
      </c>
      <c r="K17" s="18">
        <v>0</v>
      </c>
      <c r="L17" s="18">
        <v>3</v>
      </c>
      <c r="M17" s="18">
        <v>3</v>
      </c>
      <c r="N17" s="1">
        <f t="shared" si="0"/>
        <v>3.125</v>
      </c>
      <c r="T17" s="3"/>
    </row>
    <row r="18" spans="2:20" x14ac:dyDescent="0.25">
      <c r="B18" s="7" t="s">
        <v>6</v>
      </c>
      <c r="C18" s="8" t="s">
        <v>23</v>
      </c>
      <c r="D18" s="18">
        <v>4</v>
      </c>
      <c r="E18" s="18">
        <v>3</v>
      </c>
      <c r="F18" s="18">
        <v>3</v>
      </c>
      <c r="G18" s="18">
        <v>4</v>
      </c>
      <c r="H18" s="18">
        <v>0</v>
      </c>
      <c r="I18" s="18">
        <v>4</v>
      </c>
      <c r="J18" s="18">
        <v>4</v>
      </c>
      <c r="K18" s="18">
        <v>0</v>
      </c>
      <c r="L18" s="18">
        <v>4</v>
      </c>
      <c r="M18" s="18">
        <v>4</v>
      </c>
      <c r="N18" s="1">
        <f t="shared" si="0"/>
        <v>3.75</v>
      </c>
      <c r="T18" s="3"/>
    </row>
    <row r="19" spans="2:20" ht="30" x14ac:dyDescent="0.25">
      <c r="B19" s="7" t="s">
        <v>7</v>
      </c>
      <c r="C19" s="8" t="s">
        <v>24</v>
      </c>
      <c r="D19" s="18">
        <v>4</v>
      </c>
      <c r="E19" s="18">
        <v>2</v>
      </c>
      <c r="F19" s="18">
        <v>4</v>
      </c>
      <c r="G19" s="18">
        <v>3</v>
      </c>
      <c r="H19" s="18">
        <v>0</v>
      </c>
      <c r="I19" s="18">
        <v>4</v>
      </c>
      <c r="J19" s="18">
        <v>2</v>
      </c>
      <c r="K19" s="18">
        <v>0</v>
      </c>
      <c r="L19" s="18">
        <v>4</v>
      </c>
      <c r="M19" s="18">
        <v>2</v>
      </c>
      <c r="N19" s="1">
        <f t="shared" si="0"/>
        <v>3.125</v>
      </c>
      <c r="T19" s="3"/>
    </row>
    <row r="20" spans="2:20" x14ac:dyDescent="0.25">
      <c r="B20" s="7" t="s">
        <v>8</v>
      </c>
      <c r="C20" s="8" t="s">
        <v>25</v>
      </c>
      <c r="D20" s="4">
        <v>4</v>
      </c>
      <c r="E20" s="4">
        <v>3</v>
      </c>
      <c r="F20" s="4">
        <v>4</v>
      </c>
      <c r="G20" s="4">
        <v>3</v>
      </c>
      <c r="H20" s="4">
        <v>0</v>
      </c>
      <c r="I20" s="4">
        <v>4</v>
      </c>
      <c r="J20" s="4">
        <v>3</v>
      </c>
      <c r="K20" s="4">
        <v>0</v>
      </c>
      <c r="L20" s="4">
        <v>3</v>
      </c>
      <c r="M20" s="4">
        <v>3</v>
      </c>
      <c r="N20" s="1">
        <f t="shared" si="0"/>
        <v>3.375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>
        <v>0</v>
      </c>
      <c r="I21" s="18">
        <v>4</v>
      </c>
      <c r="J21" s="18">
        <v>4</v>
      </c>
      <c r="K21" s="18">
        <v>0</v>
      </c>
      <c r="L21" s="18">
        <v>4</v>
      </c>
      <c r="M21" s="18">
        <v>3</v>
      </c>
      <c r="N21" s="1">
        <f t="shared" si="0"/>
        <v>3.875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0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4</v>
      </c>
      <c r="F23" s="4">
        <v>4</v>
      </c>
      <c r="G23" s="4">
        <v>4</v>
      </c>
      <c r="H23" s="4">
        <v>0</v>
      </c>
      <c r="I23" s="4">
        <v>3</v>
      </c>
      <c r="J23" s="4">
        <v>4</v>
      </c>
      <c r="K23" s="4">
        <v>0</v>
      </c>
      <c r="L23" s="4">
        <v>4</v>
      </c>
      <c r="M23" s="4">
        <v>3</v>
      </c>
      <c r="N23" s="1">
        <f t="shared" si="0"/>
        <v>3.625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41</v>
      </c>
      <c r="E25" s="1">
        <f>SUM(E12:E23)</f>
        <v>38</v>
      </c>
      <c r="F25" s="1">
        <f t="shared" ref="F25:N25" si="1">SUM(F12:F23)</f>
        <v>44</v>
      </c>
      <c r="G25" s="1">
        <f t="shared" si="1"/>
        <v>41</v>
      </c>
      <c r="H25" s="1">
        <f t="shared" si="1"/>
        <v>0</v>
      </c>
      <c r="I25" s="1">
        <f t="shared" si="1"/>
        <v>45</v>
      </c>
      <c r="J25" s="1">
        <f t="shared" si="1"/>
        <v>42</v>
      </c>
      <c r="K25" s="1">
        <f t="shared" si="1"/>
        <v>0</v>
      </c>
      <c r="L25" s="1">
        <f t="shared" si="1"/>
        <v>44</v>
      </c>
      <c r="M25" s="1">
        <f t="shared" si="1"/>
        <v>39</v>
      </c>
      <c r="N25" s="17">
        <f t="shared" si="1"/>
        <v>41.75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B</v>
      </c>
      <c r="E26" s="1" t="str" cm="1">
        <f t="array" ref="E26">_xlfn.IFS(E25/48&gt;=0.9,"A",E25/48&gt;=0.8,"B",E25/48&gt;=0.7,"C",E25/48&gt;=0.6,"D",TRUE,"F")</f>
        <v>C</v>
      </c>
      <c r="F26" s="1" t="str" cm="1">
        <f t="array" ref="F26">_xlfn.IFS(F25/48&gt;=0.9,"A",F25/48&gt;=0.8,"B",F25/48&gt;=0.7,"C",F25/48&gt;=0.6,"D",TRUE,"F")</f>
        <v>A</v>
      </c>
      <c r="G26" s="1" t="str" cm="1">
        <f t="array" ref="G26">_xlfn.IFS(G25/48&gt;=0.9,"A",G25/48&gt;=0.8,"B",G25/48&gt;=0.7,"C",G25/48&gt;=0.6,"D",TRUE,"F")</f>
        <v>B</v>
      </c>
      <c r="H26" s="1" t="str" cm="1">
        <f t="array" ref="H26">_xlfn.IFS(H25/48&gt;=0.9,"A",H25/48&gt;=0.8,"B",H25/48&gt;=0.7,"C",H25/48&gt;=0.6,"D",TRUE,"F")</f>
        <v>F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B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7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37B-DC85-4CAD-9D36-9AF9831C4CAE}">
  <sheetPr codeName="Sheet12"/>
  <dimension ref="B2:T26"/>
  <sheetViews>
    <sheetView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5</v>
      </c>
      <c r="E4" s="30"/>
      <c r="F4" s="30"/>
      <c r="I4" s="26" t="s">
        <v>39</v>
      </c>
      <c r="J4" s="26"/>
      <c r="K4" s="30">
        <v>1</v>
      </c>
      <c r="L4" s="30"/>
      <c r="M4" s="30"/>
    </row>
    <row r="5" spans="2:20" ht="18.75" x14ac:dyDescent="0.25">
      <c r="C5" s="3" t="s">
        <v>31</v>
      </c>
      <c r="D5" s="31" t="s">
        <v>148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4</v>
      </c>
      <c r="E6" s="26"/>
      <c r="F6" s="26"/>
      <c r="I6" s="26" t="s">
        <v>33</v>
      </c>
      <c r="J6" s="26"/>
      <c r="K6" s="32" t="s">
        <v>149</v>
      </c>
      <c r="L6" s="32"/>
      <c r="M6" s="32"/>
    </row>
    <row r="7" spans="2:20" x14ac:dyDescent="0.25">
      <c r="C7" s="3" t="s">
        <v>34</v>
      </c>
      <c r="D7" s="25" t="s">
        <v>150</v>
      </c>
      <c r="E7" s="25"/>
      <c r="F7" s="25"/>
      <c r="I7" s="26" t="s">
        <v>35</v>
      </c>
      <c r="J7" s="26"/>
      <c r="K7" s="27"/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1" t="s">
        <v>129</v>
      </c>
      <c r="I11" s="20" t="s">
        <v>116</v>
      </c>
      <c r="J11" s="20" t="s">
        <v>116</v>
      </c>
      <c r="K11" s="20" t="s">
        <v>116</v>
      </c>
      <c r="L11" s="20" t="s">
        <v>116</v>
      </c>
      <c r="M11" s="21" t="s">
        <v>129</v>
      </c>
      <c r="N11" s="22"/>
      <c r="T11" s="3"/>
    </row>
    <row r="12" spans="2:20" ht="30" x14ac:dyDescent="0.25">
      <c r="B12" s="7" t="s">
        <v>0</v>
      </c>
      <c r="C12" s="8" t="s">
        <v>17</v>
      </c>
      <c r="D12" s="18">
        <v>4</v>
      </c>
      <c r="E12" s="18">
        <v>4</v>
      </c>
      <c r="F12" s="18">
        <v>4</v>
      </c>
      <c r="G12" s="18">
        <v>4</v>
      </c>
      <c r="H12" s="18">
        <v>3</v>
      </c>
      <c r="I12" s="18">
        <v>4</v>
      </c>
      <c r="J12" s="18">
        <v>4</v>
      </c>
      <c r="K12" s="18">
        <v>2</v>
      </c>
      <c r="L12" s="18">
        <v>4</v>
      </c>
      <c r="M12" s="18">
        <v>4</v>
      </c>
      <c r="N12" s="1">
        <f t="shared" ref="N12:N24" si="0">IFERROR(AVERAGEIFS(D12:M12,D12:M12,"&gt;0"),"")</f>
        <v>3.7</v>
      </c>
      <c r="T12" s="3"/>
    </row>
    <row r="13" spans="2:20" ht="30" x14ac:dyDescent="0.25">
      <c r="B13" s="7" t="s">
        <v>1</v>
      </c>
      <c r="C13" s="8" t="s">
        <v>18</v>
      </c>
      <c r="D13" s="4">
        <v>3</v>
      </c>
      <c r="E13" s="4">
        <v>3</v>
      </c>
      <c r="F13" s="4">
        <v>3</v>
      </c>
      <c r="G13" s="4">
        <v>4</v>
      </c>
      <c r="H13" s="4">
        <v>3</v>
      </c>
      <c r="I13" s="4">
        <v>4</v>
      </c>
      <c r="J13" s="4">
        <v>4</v>
      </c>
      <c r="K13" s="4">
        <v>3</v>
      </c>
      <c r="L13" s="4">
        <v>3</v>
      </c>
      <c r="M13" s="4">
        <v>3</v>
      </c>
      <c r="N13" s="1">
        <f t="shared" si="0"/>
        <v>3.3</v>
      </c>
      <c r="T13" s="3"/>
    </row>
    <row r="14" spans="2:20" ht="30" x14ac:dyDescent="0.25">
      <c r="B14" s="7" t="s">
        <v>2</v>
      </c>
      <c r="C14" s="8" t="s">
        <v>19</v>
      </c>
      <c r="D14" s="18">
        <v>4</v>
      </c>
      <c r="E14" s="18">
        <v>4</v>
      </c>
      <c r="F14" s="18">
        <v>3</v>
      </c>
      <c r="G14" s="18">
        <v>4</v>
      </c>
      <c r="H14" s="18">
        <v>4</v>
      </c>
      <c r="I14" s="18">
        <v>4</v>
      </c>
      <c r="J14" s="18">
        <v>4</v>
      </c>
      <c r="K14" s="18">
        <v>3</v>
      </c>
      <c r="L14" s="18">
        <v>4</v>
      </c>
      <c r="M14" s="18">
        <v>4</v>
      </c>
      <c r="N14" s="1">
        <f t="shared" si="0"/>
        <v>3.8</v>
      </c>
      <c r="T14" s="3"/>
    </row>
    <row r="15" spans="2:20" ht="30" x14ac:dyDescent="0.25">
      <c r="B15" s="7" t="s">
        <v>4</v>
      </c>
      <c r="C15" s="8" t="s">
        <v>20</v>
      </c>
      <c r="D15" s="1">
        <v>4</v>
      </c>
      <c r="E15" s="1">
        <v>4</v>
      </c>
      <c r="F15" s="1">
        <v>4</v>
      </c>
      <c r="G15" s="1">
        <v>4</v>
      </c>
      <c r="H15" s="1">
        <v>3</v>
      </c>
      <c r="I15" s="1">
        <v>4</v>
      </c>
      <c r="J15" s="1">
        <v>4</v>
      </c>
      <c r="K15" s="1">
        <v>4</v>
      </c>
      <c r="L15" s="1">
        <v>4</v>
      </c>
      <c r="M15" s="1">
        <v>4</v>
      </c>
      <c r="N15" s="1">
        <f t="shared" si="0"/>
        <v>3.9</v>
      </c>
      <c r="T15" s="3"/>
    </row>
    <row r="16" spans="2:20" ht="30" x14ac:dyDescent="0.25">
      <c r="B16" s="7" t="s">
        <v>3</v>
      </c>
      <c r="C16" s="8" t="s">
        <v>21</v>
      </c>
      <c r="D16" s="18">
        <v>4</v>
      </c>
      <c r="E16" s="18">
        <v>3</v>
      </c>
      <c r="F16" s="18">
        <v>3</v>
      </c>
      <c r="G16" s="18">
        <v>4</v>
      </c>
      <c r="H16" s="18">
        <v>4</v>
      </c>
      <c r="I16" s="18">
        <v>3</v>
      </c>
      <c r="J16" s="18">
        <v>3</v>
      </c>
      <c r="K16" s="18">
        <v>2</v>
      </c>
      <c r="L16" s="18">
        <v>4</v>
      </c>
      <c r="M16" s="18">
        <v>4</v>
      </c>
      <c r="N16" s="1">
        <f t="shared" si="0"/>
        <v>3.4</v>
      </c>
      <c r="T16" s="3"/>
    </row>
    <row r="17" spans="2:20" ht="45" x14ac:dyDescent="0.25">
      <c r="B17" s="7" t="s">
        <v>5</v>
      </c>
      <c r="C17" s="8" t="s">
        <v>22</v>
      </c>
      <c r="D17" s="18">
        <v>3</v>
      </c>
      <c r="E17" s="18">
        <v>3</v>
      </c>
      <c r="F17" s="18">
        <v>4</v>
      </c>
      <c r="G17" s="18">
        <v>4</v>
      </c>
      <c r="H17" s="18">
        <v>3</v>
      </c>
      <c r="I17" s="18">
        <v>3</v>
      </c>
      <c r="J17" s="18">
        <v>3</v>
      </c>
      <c r="K17" s="18">
        <v>3</v>
      </c>
      <c r="L17" s="18">
        <v>3</v>
      </c>
      <c r="M17" s="18">
        <v>3</v>
      </c>
      <c r="N17" s="1">
        <f t="shared" si="0"/>
        <v>3.2</v>
      </c>
      <c r="T17" s="3"/>
    </row>
    <row r="18" spans="2:20" x14ac:dyDescent="0.25">
      <c r="B18" s="7" t="s">
        <v>6</v>
      </c>
      <c r="C18" s="8" t="s">
        <v>23</v>
      </c>
      <c r="D18" s="18">
        <v>4</v>
      </c>
      <c r="E18" s="18">
        <v>3</v>
      </c>
      <c r="F18" s="18">
        <v>4</v>
      </c>
      <c r="G18" s="18">
        <v>4</v>
      </c>
      <c r="H18" s="18">
        <v>4</v>
      </c>
      <c r="I18" s="18">
        <v>4</v>
      </c>
      <c r="J18" s="18">
        <v>4</v>
      </c>
      <c r="K18" s="18">
        <v>3</v>
      </c>
      <c r="L18" s="18">
        <v>4</v>
      </c>
      <c r="M18" s="18">
        <v>4</v>
      </c>
      <c r="N18" s="1">
        <f t="shared" si="0"/>
        <v>3.8</v>
      </c>
      <c r="T18" s="3"/>
    </row>
    <row r="19" spans="2:20" ht="30" x14ac:dyDescent="0.25">
      <c r="B19" s="7" t="s">
        <v>7</v>
      </c>
      <c r="C19" s="8" t="s">
        <v>24</v>
      </c>
      <c r="D19" s="4">
        <v>4</v>
      </c>
      <c r="E19" s="4">
        <v>2</v>
      </c>
      <c r="F19" s="4">
        <v>4</v>
      </c>
      <c r="G19" s="4">
        <v>4</v>
      </c>
      <c r="H19" s="4">
        <v>3</v>
      </c>
      <c r="I19" s="4">
        <v>4</v>
      </c>
      <c r="J19" s="4">
        <v>4</v>
      </c>
      <c r="K19" s="4">
        <v>3</v>
      </c>
      <c r="L19" s="4">
        <v>4</v>
      </c>
      <c r="M19" s="4">
        <v>2</v>
      </c>
      <c r="N19" s="1">
        <f t="shared" si="0"/>
        <v>3.4</v>
      </c>
      <c r="T19" s="3"/>
    </row>
    <row r="20" spans="2:20" x14ac:dyDescent="0.25">
      <c r="B20" s="7" t="s">
        <v>8</v>
      </c>
      <c r="C20" s="8" t="s">
        <v>25</v>
      </c>
      <c r="D20" s="18">
        <v>4</v>
      </c>
      <c r="E20" s="18">
        <v>3</v>
      </c>
      <c r="F20" s="18">
        <v>3</v>
      </c>
      <c r="G20" s="18">
        <v>3</v>
      </c>
      <c r="H20" s="18">
        <v>4</v>
      </c>
      <c r="I20" s="18">
        <v>4</v>
      </c>
      <c r="J20" s="18">
        <v>4</v>
      </c>
      <c r="K20" s="18">
        <v>3</v>
      </c>
      <c r="L20" s="18">
        <v>4</v>
      </c>
      <c r="M20" s="18">
        <v>3</v>
      </c>
      <c r="N20" s="1">
        <f t="shared" si="0"/>
        <v>3.5</v>
      </c>
      <c r="T20" s="3"/>
    </row>
    <row r="21" spans="2:20" x14ac:dyDescent="0.25">
      <c r="B21" s="7" t="s">
        <v>9</v>
      </c>
      <c r="C21" s="8" t="s">
        <v>26</v>
      </c>
      <c r="D21" s="4">
        <v>3</v>
      </c>
      <c r="E21" s="4">
        <v>3</v>
      </c>
      <c r="F21" s="4">
        <v>4</v>
      </c>
      <c r="G21" s="4">
        <v>4</v>
      </c>
      <c r="H21" s="4">
        <v>3</v>
      </c>
      <c r="I21" s="4">
        <v>4</v>
      </c>
      <c r="J21" s="4">
        <v>4</v>
      </c>
      <c r="K21" s="4">
        <v>3</v>
      </c>
      <c r="L21" s="4">
        <v>4</v>
      </c>
      <c r="M21" s="4">
        <v>3</v>
      </c>
      <c r="N21" s="1">
        <f t="shared" si="0"/>
        <v>3.5</v>
      </c>
      <c r="T21" s="3"/>
    </row>
    <row r="22" spans="2:20" x14ac:dyDescent="0.25">
      <c r="B22" s="7" t="s">
        <v>10</v>
      </c>
      <c r="C22" s="8" t="s">
        <v>27</v>
      </c>
      <c r="D22" s="18">
        <v>4</v>
      </c>
      <c r="E22" s="18">
        <v>3</v>
      </c>
      <c r="F22" s="18">
        <v>4</v>
      </c>
      <c r="G22" s="18">
        <v>3</v>
      </c>
      <c r="H22" s="18">
        <v>3</v>
      </c>
      <c r="I22" s="18">
        <v>3</v>
      </c>
      <c r="J22" s="18">
        <v>3</v>
      </c>
      <c r="K22" s="18">
        <v>3</v>
      </c>
      <c r="L22" s="18">
        <v>3</v>
      </c>
      <c r="M22" s="18">
        <v>3</v>
      </c>
      <c r="N22" s="1">
        <f t="shared" si="0"/>
        <v>3.2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3</v>
      </c>
      <c r="F23" s="4">
        <v>3</v>
      </c>
      <c r="G23" s="4">
        <v>4</v>
      </c>
      <c r="H23" s="4">
        <v>3</v>
      </c>
      <c r="I23" s="4">
        <v>3</v>
      </c>
      <c r="J23" s="4">
        <v>4</v>
      </c>
      <c r="K23" s="4">
        <v>3</v>
      </c>
      <c r="L23" s="4">
        <v>4</v>
      </c>
      <c r="M23" s="4">
        <v>4</v>
      </c>
      <c r="N23" s="1">
        <f t="shared" si="0"/>
        <v>3.4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38</v>
      </c>
      <c r="F25" s="1">
        <f t="shared" ref="F25:N25" si="1">SUM(F12:F23)</f>
        <v>43</v>
      </c>
      <c r="G25" s="1">
        <f t="shared" si="1"/>
        <v>46</v>
      </c>
      <c r="H25" s="1">
        <f t="shared" si="1"/>
        <v>40</v>
      </c>
      <c r="I25" s="1">
        <f t="shared" si="1"/>
        <v>44</v>
      </c>
      <c r="J25" s="1">
        <f t="shared" si="1"/>
        <v>45</v>
      </c>
      <c r="K25" s="1">
        <f t="shared" si="1"/>
        <v>35</v>
      </c>
      <c r="L25" s="1">
        <f t="shared" si="1"/>
        <v>45</v>
      </c>
      <c r="M25" s="1">
        <f t="shared" si="1"/>
        <v>41</v>
      </c>
      <c r="N25" s="16">
        <f t="shared" si="1"/>
        <v>42.1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C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B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C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6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17C97-08A1-4819-871D-12D1D5358B4A}">
  <sheetPr codeName="Sheet13"/>
  <dimension ref="B2:T26"/>
  <sheetViews>
    <sheetView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5</v>
      </c>
      <c r="E4" s="30"/>
      <c r="F4" s="30"/>
      <c r="I4" s="26" t="s">
        <v>39</v>
      </c>
      <c r="J4" s="26"/>
      <c r="K4" s="30">
        <v>2</v>
      </c>
      <c r="L4" s="30"/>
      <c r="M4" s="30"/>
    </row>
    <row r="5" spans="2:20" ht="18.75" x14ac:dyDescent="0.25">
      <c r="C5" s="3" t="s">
        <v>31</v>
      </c>
      <c r="D5" s="31" t="s">
        <v>151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4</v>
      </c>
      <c r="E6" s="26"/>
      <c r="F6" s="26"/>
      <c r="I6" s="26" t="s">
        <v>33</v>
      </c>
      <c r="J6" s="26"/>
      <c r="K6" s="32" t="s">
        <v>152</v>
      </c>
      <c r="L6" s="32"/>
      <c r="M6" s="32"/>
    </row>
    <row r="7" spans="2:20" x14ac:dyDescent="0.25">
      <c r="C7" s="3" t="s">
        <v>34</v>
      </c>
      <c r="D7" s="25" t="s">
        <v>153</v>
      </c>
      <c r="E7" s="25"/>
      <c r="F7" s="25"/>
      <c r="I7" s="26" t="s">
        <v>35</v>
      </c>
      <c r="J7" s="26"/>
      <c r="K7" s="27"/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1" t="s">
        <v>129</v>
      </c>
      <c r="I11" s="20" t="s">
        <v>116</v>
      </c>
      <c r="J11" s="20" t="s">
        <v>116</v>
      </c>
      <c r="K11" s="20" t="s">
        <v>116</v>
      </c>
      <c r="L11" s="20" t="s">
        <v>116</v>
      </c>
      <c r="M11" s="21" t="s">
        <v>129</v>
      </c>
      <c r="N11" s="22"/>
      <c r="T11" s="3"/>
    </row>
    <row r="12" spans="2:20" ht="30" x14ac:dyDescent="0.25">
      <c r="B12" s="7" t="s">
        <v>0</v>
      </c>
      <c r="C12" s="8" t="s">
        <v>17</v>
      </c>
      <c r="D12" s="4">
        <v>3</v>
      </c>
      <c r="E12" s="4">
        <v>4</v>
      </c>
      <c r="F12" s="4">
        <v>3</v>
      </c>
      <c r="G12" s="4">
        <v>4</v>
      </c>
      <c r="H12" s="4">
        <v>3</v>
      </c>
      <c r="I12" s="4">
        <v>4</v>
      </c>
      <c r="J12" s="4">
        <v>4</v>
      </c>
      <c r="K12" s="4">
        <v>3</v>
      </c>
      <c r="L12" s="4">
        <v>4</v>
      </c>
      <c r="M12" s="4">
        <v>3</v>
      </c>
      <c r="N12" s="1">
        <f t="shared" ref="N12:N24" si="0">IFERROR(AVERAGEIFS(D12:M12,D12:M12,"&gt;0"),"")</f>
        <v>3.5</v>
      </c>
      <c r="T12" s="3"/>
    </row>
    <row r="13" spans="2:20" ht="30" x14ac:dyDescent="0.25">
      <c r="B13" s="7" t="s">
        <v>1</v>
      </c>
      <c r="C13" s="8" t="s">
        <v>18</v>
      </c>
      <c r="D13" s="4">
        <v>4</v>
      </c>
      <c r="E13" s="4">
        <v>3</v>
      </c>
      <c r="F13" s="4">
        <v>3</v>
      </c>
      <c r="G13" s="4">
        <v>4</v>
      </c>
      <c r="H13" s="4">
        <v>3</v>
      </c>
      <c r="I13" s="4">
        <v>4</v>
      </c>
      <c r="J13" s="4">
        <v>4</v>
      </c>
      <c r="K13" s="4">
        <v>3</v>
      </c>
      <c r="L13" s="4">
        <v>4</v>
      </c>
      <c r="M13" s="4">
        <v>3</v>
      </c>
      <c r="N13" s="1">
        <f t="shared" si="0"/>
        <v>3.5</v>
      </c>
      <c r="T13" s="3"/>
    </row>
    <row r="14" spans="2:20" ht="30" x14ac:dyDescent="0.25">
      <c r="B14" s="7" t="s">
        <v>2</v>
      </c>
      <c r="C14" s="8" t="s">
        <v>19</v>
      </c>
      <c r="D14" s="4">
        <v>4</v>
      </c>
      <c r="E14" s="4">
        <v>4</v>
      </c>
      <c r="F14" s="4">
        <v>2</v>
      </c>
      <c r="G14" s="4">
        <v>4</v>
      </c>
      <c r="H14" s="4">
        <v>3</v>
      </c>
      <c r="I14" s="4">
        <v>4</v>
      </c>
      <c r="J14" s="4">
        <v>4</v>
      </c>
      <c r="K14" s="4">
        <v>3</v>
      </c>
      <c r="L14" s="4">
        <v>4</v>
      </c>
      <c r="M14" s="4">
        <v>3</v>
      </c>
      <c r="N14" s="1">
        <f t="shared" si="0"/>
        <v>3.5</v>
      </c>
      <c r="T14" s="3"/>
    </row>
    <row r="15" spans="2:20" ht="30" x14ac:dyDescent="0.25">
      <c r="B15" s="7" t="s">
        <v>4</v>
      </c>
      <c r="C15" s="8" t="s">
        <v>20</v>
      </c>
      <c r="D15" s="1">
        <v>4</v>
      </c>
      <c r="E15" s="1">
        <v>4</v>
      </c>
      <c r="F15" s="1">
        <v>4</v>
      </c>
      <c r="G15" s="1">
        <v>4</v>
      </c>
      <c r="H15" s="1">
        <v>4</v>
      </c>
      <c r="I15" s="1">
        <v>4</v>
      </c>
      <c r="J15" s="1">
        <v>4</v>
      </c>
      <c r="K15" s="1">
        <v>4</v>
      </c>
      <c r="L15" s="1">
        <v>4</v>
      </c>
      <c r="M15" s="1">
        <v>4</v>
      </c>
      <c r="N15" s="1">
        <f t="shared" si="0"/>
        <v>4</v>
      </c>
      <c r="T15" s="3"/>
    </row>
    <row r="16" spans="2:20" ht="30" x14ac:dyDescent="0.25">
      <c r="B16" s="7" t="s">
        <v>3</v>
      </c>
      <c r="C16" s="8" t="s">
        <v>21</v>
      </c>
      <c r="D16" s="18">
        <v>4</v>
      </c>
      <c r="E16" s="18">
        <v>3</v>
      </c>
      <c r="F16" s="18">
        <v>4</v>
      </c>
      <c r="G16" s="18">
        <v>3</v>
      </c>
      <c r="H16" s="18">
        <v>4</v>
      </c>
      <c r="I16" s="18">
        <v>4</v>
      </c>
      <c r="J16" s="18">
        <v>4</v>
      </c>
      <c r="K16" s="18">
        <v>3</v>
      </c>
      <c r="L16" s="18">
        <v>4</v>
      </c>
      <c r="M16" s="18">
        <v>4</v>
      </c>
      <c r="N16" s="1">
        <f t="shared" si="0"/>
        <v>3.7</v>
      </c>
      <c r="T16" s="3"/>
    </row>
    <row r="17" spans="2:20" ht="45" x14ac:dyDescent="0.25">
      <c r="B17" s="7" t="s">
        <v>5</v>
      </c>
      <c r="C17" s="8" t="s">
        <v>22</v>
      </c>
      <c r="D17" s="18">
        <v>3</v>
      </c>
      <c r="E17" s="18">
        <v>3</v>
      </c>
      <c r="F17" s="18">
        <v>4</v>
      </c>
      <c r="G17" s="18">
        <v>3</v>
      </c>
      <c r="H17" s="18">
        <v>3</v>
      </c>
      <c r="I17" s="18">
        <v>3</v>
      </c>
      <c r="J17" s="18">
        <v>4</v>
      </c>
      <c r="K17" s="18">
        <v>3</v>
      </c>
      <c r="L17" s="18">
        <v>3</v>
      </c>
      <c r="M17" s="18">
        <v>3</v>
      </c>
      <c r="N17" s="1">
        <f t="shared" si="0"/>
        <v>3.2</v>
      </c>
      <c r="T17" s="3"/>
    </row>
    <row r="18" spans="2:20" x14ac:dyDescent="0.25">
      <c r="B18" s="7" t="s">
        <v>6</v>
      </c>
      <c r="C18" s="8" t="s">
        <v>23</v>
      </c>
      <c r="D18" s="18">
        <v>4</v>
      </c>
      <c r="E18" s="18">
        <v>3</v>
      </c>
      <c r="F18" s="18">
        <v>4</v>
      </c>
      <c r="G18" s="18">
        <v>4</v>
      </c>
      <c r="H18" s="18">
        <v>4</v>
      </c>
      <c r="I18" s="18">
        <v>4</v>
      </c>
      <c r="J18" s="18">
        <v>4</v>
      </c>
      <c r="K18" s="18">
        <v>4</v>
      </c>
      <c r="L18" s="18">
        <v>4</v>
      </c>
      <c r="M18" s="18">
        <v>4</v>
      </c>
      <c r="N18" s="1">
        <f t="shared" si="0"/>
        <v>3.9</v>
      </c>
      <c r="T18" s="3"/>
    </row>
    <row r="19" spans="2:20" ht="30" x14ac:dyDescent="0.25">
      <c r="B19" s="7" t="s">
        <v>7</v>
      </c>
      <c r="C19" s="8" t="s">
        <v>24</v>
      </c>
      <c r="D19" s="4">
        <v>4</v>
      </c>
      <c r="E19" s="4">
        <v>3</v>
      </c>
      <c r="F19" s="4">
        <v>3</v>
      </c>
      <c r="G19" s="4">
        <v>4</v>
      </c>
      <c r="H19" s="4">
        <v>2</v>
      </c>
      <c r="I19" s="4">
        <v>4</v>
      </c>
      <c r="J19" s="4">
        <v>2</v>
      </c>
      <c r="K19" s="4">
        <v>3</v>
      </c>
      <c r="L19" s="4">
        <v>4</v>
      </c>
      <c r="M19" s="4">
        <v>2</v>
      </c>
      <c r="N19" s="1">
        <f t="shared" si="0"/>
        <v>3.1</v>
      </c>
      <c r="T19" s="3"/>
    </row>
    <row r="20" spans="2:20" x14ac:dyDescent="0.25">
      <c r="B20" s="7" t="s">
        <v>8</v>
      </c>
      <c r="C20" s="8" t="s">
        <v>25</v>
      </c>
      <c r="D20" s="18">
        <v>4</v>
      </c>
      <c r="E20" s="18">
        <v>3</v>
      </c>
      <c r="F20" s="18">
        <v>4</v>
      </c>
      <c r="G20" s="18">
        <v>4</v>
      </c>
      <c r="H20" s="18">
        <v>2</v>
      </c>
      <c r="I20" s="18">
        <v>4</v>
      </c>
      <c r="J20" s="18">
        <v>4</v>
      </c>
      <c r="K20" s="18">
        <v>4</v>
      </c>
      <c r="L20" s="18">
        <v>4</v>
      </c>
      <c r="M20" s="18">
        <v>3</v>
      </c>
      <c r="N20" s="1">
        <f t="shared" si="0"/>
        <v>3.6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>
        <v>3</v>
      </c>
      <c r="I21" s="18">
        <v>3</v>
      </c>
      <c r="J21" s="18">
        <v>4</v>
      </c>
      <c r="K21" s="18">
        <v>4</v>
      </c>
      <c r="L21" s="18">
        <v>4</v>
      </c>
      <c r="M21" s="18">
        <v>4</v>
      </c>
      <c r="N21" s="1">
        <f t="shared" si="0"/>
        <v>3.8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3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4</v>
      </c>
      <c r="F23" s="4">
        <v>3</v>
      </c>
      <c r="G23" s="4">
        <v>3</v>
      </c>
      <c r="H23" s="4">
        <v>3</v>
      </c>
      <c r="I23" s="4">
        <v>3</v>
      </c>
      <c r="J23" s="4">
        <v>3</v>
      </c>
      <c r="K23" s="4">
        <v>3</v>
      </c>
      <c r="L23" s="4">
        <v>4</v>
      </c>
      <c r="M23" s="4">
        <v>3</v>
      </c>
      <c r="N23" s="1">
        <f t="shared" si="0"/>
        <v>3.2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41</v>
      </c>
      <c r="F25" s="1">
        <f t="shared" ref="F25:N25" si="1">SUM(F12:F23)</f>
        <v>41</v>
      </c>
      <c r="G25" s="1">
        <f t="shared" si="1"/>
        <v>44</v>
      </c>
      <c r="H25" s="1">
        <f t="shared" si="1"/>
        <v>37</v>
      </c>
      <c r="I25" s="1">
        <f t="shared" si="1"/>
        <v>44</v>
      </c>
      <c r="J25" s="1">
        <f t="shared" si="1"/>
        <v>44</v>
      </c>
      <c r="K25" s="1">
        <f t="shared" si="1"/>
        <v>40</v>
      </c>
      <c r="L25" s="1">
        <f t="shared" si="1"/>
        <v>46</v>
      </c>
      <c r="M25" s="1">
        <f t="shared" si="1"/>
        <v>39</v>
      </c>
      <c r="N25" s="16">
        <f t="shared" si="1"/>
        <v>42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B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C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B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6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FECFE-B9C0-43E0-B209-023C9FA60EBA}">
  <sheetPr codeName="Sheet14"/>
  <dimension ref="B2:T26"/>
  <sheetViews>
    <sheetView zoomScale="85" zoomScaleNormal="85" workbookViewId="0">
      <selection activeCell="H11" sqref="H11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5</v>
      </c>
      <c r="E4" s="30"/>
      <c r="F4" s="30"/>
      <c r="I4" s="26" t="s">
        <v>39</v>
      </c>
      <c r="J4" s="26"/>
      <c r="K4" s="30">
        <v>3</v>
      </c>
      <c r="L4" s="30"/>
      <c r="M4" s="30"/>
    </row>
    <row r="5" spans="2:20" ht="18.75" x14ac:dyDescent="0.25">
      <c r="C5" s="3" t="s">
        <v>31</v>
      </c>
      <c r="D5" s="31" t="s">
        <v>154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4</v>
      </c>
      <c r="E6" s="26"/>
      <c r="F6" s="26"/>
      <c r="I6" s="26" t="s">
        <v>33</v>
      </c>
      <c r="J6" s="26"/>
      <c r="K6" s="32" t="s">
        <v>155</v>
      </c>
      <c r="L6" s="32"/>
      <c r="M6" s="32"/>
    </row>
    <row r="7" spans="2:20" x14ac:dyDescent="0.25">
      <c r="C7" s="3" t="s">
        <v>34</v>
      </c>
      <c r="D7" s="25" t="s">
        <v>156</v>
      </c>
      <c r="E7" s="25"/>
      <c r="F7" s="25"/>
      <c r="I7" s="26" t="s">
        <v>35</v>
      </c>
      <c r="J7" s="26"/>
      <c r="K7" s="27" t="s">
        <v>1</v>
      </c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1" t="s">
        <v>129</v>
      </c>
      <c r="I11" s="20" t="s">
        <v>116</v>
      </c>
      <c r="J11" s="20" t="s">
        <v>116</v>
      </c>
      <c r="K11" s="23" t="s">
        <v>131</v>
      </c>
      <c r="L11" s="20" t="s">
        <v>116</v>
      </c>
      <c r="M11" s="21" t="s">
        <v>129</v>
      </c>
      <c r="N11" s="22"/>
      <c r="T11" s="3"/>
    </row>
    <row r="12" spans="2:20" ht="30" x14ac:dyDescent="0.25">
      <c r="B12" s="7" t="s">
        <v>0</v>
      </c>
      <c r="C12" s="8" t="s">
        <v>17</v>
      </c>
      <c r="D12" s="4">
        <v>3</v>
      </c>
      <c r="E12" s="4">
        <v>4</v>
      </c>
      <c r="F12" s="4">
        <v>3</v>
      </c>
      <c r="G12" s="4">
        <v>4</v>
      </c>
      <c r="H12" s="4">
        <v>3</v>
      </c>
      <c r="I12" s="4">
        <v>4</v>
      </c>
      <c r="J12" s="4">
        <v>3</v>
      </c>
      <c r="K12" s="4">
        <v>0</v>
      </c>
      <c r="L12" s="4">
        <v>4</v>
      </c>
      <c r="M12" s="4">
        <v>3</v>
      </c>
      <c r="N12" s="1">
        <f t="shared" ref="N12:N24" si="0">IFERROR(AVERAGEIFS(D12:M12,D12:M12,"&gt;0"),"")</f>
        <v>3.4444444444444446</v>
      </c>
      <c r="T12" s="3"/>
    </row>
    <row r="13" spans="2:20" ht="30" x14ac:dyDescent="0.25">
      <c r="B13" s="7" t="s">
        <v>1</v>
      </c>
      <c r="C13" s="8" t="s">
        <v>18</v>
      </c>
      <c r="D13" s="9">
        <v>4</v>
      </c>
      <c r="E13" s="9">
        <v>4</v>
      </c>
      <c r="F13" s="9">
        <v>4</v>
      </c>
      <c r="G13" s="9">
        <v>4</v>
      </c>
      <c r="H13" s="9">
        <v>4</v>
      </c>
      <c r="I13" s="9">
        <v>4</v>
      </c>
      <c r="J13" s="9">
        <v>4</v>
      </c>
      <c r="K13" s="9">
        <v>0</v>
      </c>
      <c r="L13" s="9">
        <v>4</v>
      </c>
      <c r="M13" s="9">
        <v>4</v>
      </c>
      <c r="N13" s="1">
        <f t="shared" si="0"/>
        <v>4</v>
      </c>
      <c r="T13" s="3"/>
    </row>
    <row r="14" spans="2:20" ht="30" x14ac:dyDescent="0.25">
      <c r="B14" s="7" t="s">
        <v>2</v>
      </c>
      <c r="C14" s="8" t="s">
        <v>19</v>
      </c>
      <c r="D14" s="4">
        <v>4</v>
      </c>
      <c r="E14" s="4">
        <v>4</v>
      </c>
      <c r="F14" s="4">
        <v>3</v>
      </c>
      <c r="G14" s="4">
        <v>4</v>
      </c>
      <c r="H14" s="4">
        <v>3</v>
      </c>
      <c r="I14" s="4">
        <v>4</v>
      </c>
      <c r="J14" s="4">
        <v>3</v>
      </c>
      <c r="K14" s="4">
        <v>0</v>
      </c>
      <c r="L14" s="4">
        <v>4</v>
      </c>
      <c r="M14" s="4">
        <v>3</v>
      </c>
      <c r="N14" s="1">
        <f t="shared" si="0"/>
        <v>3.5555555555555554</v>
      </c>
      <c r="T14" s="3"/>
    </row>
    <row r="15" spans="2:20" ht="30" x14ac:dyDescent="0.25">
      <c r="B15" s="7" t="s">
        <v>4</v>
      </c>
      <c r="C15" s="8" t="s">
        <v>20</v>
      </c>
      <c r="D15" s="1">
        <v>4</v>
      </c>
      <c r="E15" s="1">
        <v>4</v>
      </c>
      <c r="F15" s="1">
        <v>4</v>
      </c>
      <c r="G15" s="1">
        <v>4</v>
      </c>
      <c r="H15" s="1">
        <v>3</v>
      </c>
      <c r="I15" s="1">
        <v>4</v>
      </c>
      <c r="J15" s="1">
        <v>3</v>
      </c>
      <c r="K15" s="1">
        <v>0</v>
      </c>
      <c r="L15" s="1">
        <v>4</v>
      </c>
      <c r="M15" s="1">
        <v>4</v>
      </c>
      <c r="N15" s="1">
        <f t="shared" si="0"/>
        <v>3.7777777777777777</v>
      </c>
      <c r="T15" s="3"/>
    </row>
    <row r="16" spans="2:20" ht="30" x14ac:dyDescent="0.25">
      <c r="B16" s="7" t="s">
        <v>3</v>
      </c>
      <c r="C16" s="8" t="s">
        <v>21</v>
      </c>
      <c r="D16" s="4">
        <v>4</v>
      </c>
      <c r="E16" s="4">
        <v>3</v>
      </c>
      <c r="F16" s="4">
        <v>3</v>
      </c>
      <c r="G16" s="4">
        <v>3</v>
      </c>
      <c r="H16" s="4">
        <v>3</v>
      </c>
      <c r="I16" s="4">
        <v>3</v>
      </c>
      <c r="J16" s="4">
        <v>3</v>
      </c>
      <c r="K16" s="4">
        <v>0</v>
      </c>
      <c r="L16" s="4">
        <v>3</v>
      </c>
      <c r="M16" s="4">
        <v>3</v>
      </c>
      <c r="N16" s="1">
        <f t="shared" si="0"/>
        <v>3.1111111111111112</v>
      </c>
      <c r="T16" s="3"/>
    </row>
    <row r="17" spans="2:20" ht="45" x14ac:dyDescent="0.25">
      <c r="B17" s="7" t="s">
        <v>5</v>
      </c>
      <c r="C17" s="8" t="s">
        <v>22</v>
      </c>
      <c r="D17" s="18">
        <v>3</v>
      </c>
      <c r="E17" s="18">
        <v>3</v>
      </c>
      <c r="F17" s="18">
        <v>4</v>
      </c>
      <c r="G17" s="18">
        <v>3</v>
      </c>
      <c r="H17" s="18">
        <v>3</v>
      </c>
      <c r="I17" s="18">
        <v>3</v>
      </c>
      <c r="J17" s="18">
        <v>3</v>
      </c>
      <c r="K17" s="18">
        <v>0</v>
      </c>
      <c r="L17" s="18">
        <v>4</v>
      </c>
      <c r="M17" s="18">
        <v>3</v>
      </c>
      <c r="N17" s="1">
        <f t="shared" si="0"/>
        <v>3.2222222222222223</v>
      </c>
      <c r="T17" s="3"/>
    </row>
    <row r="18" spans="2:20" x14ac:dyDescent="0.25">
      <c r="B18" s="7" t="s">
        <v>6</v>
      </c>
      <c r="C18" s="8" t="s">
        <v>23</v>
      </c>
      <c r="D18" s="4">
        <v>4</v>
      </c>
      <c r="E18" s="4">
        <v>3</v>
      </c>
      <c r="F18" s="4">
        <v>3</v>
      </c>
      <c r="G18" s="4">
        <v>4</v>
      </c>
      <c r="H18" s="4">
        <v>3</v>
      </c>
      <c r="I18" s="4">
        <v>4</v>
      </c>
      <c r="J18" s="4">
        <v>3</v>
      </c>
      <c r="K18" s="4">
        <v>0</v>
      </c>
      <c r="L18" s="4">
        <v>4</v>
      </c>
      <c r="M18" s="4">
        <v>3</v>
      </c>
      <c r="N18" s="1">
        <f t="shared" si="0"/>
        <v>3.4444444444444446</v>
      </c>
      <c r="T18" s="3"/>
    </row>
    <row r="19" spans="2:20" ht="30" x14ac:dyDescent="0.25">
      <c r="B19" s="7" t="s">
        <v>7</v>
      </c>
      <c r="C19" s="8" t="s">
        <v>24</v>
      </c>
      <c r="D19" s="18">
        <v>4</v>
      </c>
      <c r="E19" s="18">
        <v>3</v>
      </c>
      <c r="F19" s="18">
        <v>4</v>
      </c>
      <c r="G19" s="18">
        <v>4</v>
      </c>
      <c r="H19" s="18">
        <v>2</v>
      </c>
      <c r="I19" s="18">
        <v>3</v>
      </c>
      <c r="J19" s="18">
        <v>4</v>
      </c>
      <c r="K19" s="18">
        <v>0</v>
      </c>
      <c r="L19" s="18">
        <v>4</v>
      </c>
      <c r="M19" s="18">
        <v>2</v>
      </c>
      <c r="N19" s="1">
        <f t="shared" si="0"/>
        <v>3.3333333333333335</v>
      </c>
      <c r="T19" s="3"/>
    </row>
    <row r="20" spans="2:20" x14ac:dyDescent="0.25">
      <c r="B20" s="7" t="s">
        <v>8</v>
      </c>
      <c r="C20" s="8" t="s">
        <v>25</v>
      </c>
      <c r="D20" s="4">
        <v>4</v>
      </c>
      <c r="E20" s="4">
        <v>3</v>
      </c>
      <c r="F20" s="4">
        <v>3</v>
      </c>
      <c r="G20" s="4">
        <v>4</v>
      </c>
      <c r="H20" s="4">
        <v>3</v>
      </c>
      <c r="I20" s="4">
        <v>4</v>
      </c>
      <c r="J20" s="4">
        <v>3</v>
      </c>
      <c r="K20" s="4">
        <v>0</v>
      </c>
      <c r="L20" s="4">
        <v>3</v>
      </c>
      <c r="M20" s="4">
        <v>2</v>
      </c>
      <c r="N20" s="1">
        <f t="shared" si="0"/>
        <v>3.2222222222222223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>
        <v>3</v>
      </c>
      <c r="I21" s="18">
        <v>4</v>
      </c>
      <c r="J21" s="18">
        <v>4</v>
      </c>
      <c r="K21" s="18">
        <v>0</v>
      </c>
      <c r="L21" s="18">
        <v>4</v>
      </c>
      <c r="M21" s="18">
        <v>3</v>
      </c>
      <c r="N21" s="1">
        <f t="shared" si="0"/>
        <v>3.7777777777777777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4</v>
      </c>
      <c r="F23" s="4">
        <v>3</v>
      </c>
      <c r="G23" s="4">
        <v>4</v>
      </c>
      <c r="H23" s="4">
        <v>3</v>
      </c>
      <c r="I23" s="4">
        <v>3</v>
      </c>
      <c r="J23" s="4">
        <v>4</v>
      </c>
      <c r="K23" s="4">
        <v>0</v>
      </c>
      <c r="L23" s="4">
        <v>4</v>
      </c>
      <c r="M23" s="4">
        <v>3</v>
      </c>
      <c r="N23" s="1">
        <f t="shared" si="0"/>
        <v>3.4444444444444446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42</v>
      </c>
      <c r="F25" s="1">
        <f t="shared" ref="F25:N25" si="1">SUM(F12:F23)</f>
        <v>41</v>
      </c>
      <c r="G25" s="1">
        <f t="shared" si="1"/>
        <v>45</v>
      </c>
      <c r="H25" s="1">
        <f t="shared" si="1"/>
        <v>36</v>
      </c>
      <c r="I25" s="1">
        <f t="shared" si="1"/>
        <v>43</v>
      </c>
      <c r="J25" s="1">
        <f t="shared" si="1"/>
        <v>40</v>
      </c>
      <c r="K25" s="1">
        <f t="shared" si="1"/>
        <v>0</v>
      </c>
      <c r="L25" s="1">
        <f t="shared" si="1"/>
        <v>45</v>
      </c>
      <c r="M25" s="1">
        <f t="shared" si="1"/>
        <v>36</v>
      </c>
      <c r="N25" s="16">
        <f t="shared" si="1"/>
        <v>41.333333333333329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B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C</v>
      </c>
      <c r="I26" s="1" t="str" cm="1">
        <f t="array" ref="I26">_xlfn.IFS(I25/48&gt;=0.9,"A",I25/48&gt;=0.8,"B",I25/48&gt;=0.7,"C",I25/48&gt;=0.6,"D",TRUE,"F")</f>
        <v>B</v>
      </c>
      <c r="J26" s="1" t="str" cm="1">
        <f t="array" ref="J26">_xlfn.IFS(J25/48&gt;=0.9,"A",J25/48&gt;=0.8,"B",J25/48&gt;=0.7,"C",J25/48&gt;=0.6,"D",TRUE,"F")</f>
        <v>B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C</v>
      </c>
      <c r="N26" s="16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5159E-6E67-4465-B20C-D43A22414926}">
  <sheetPr codeName="Sheet11"/>
  <dimension ref="B2:T26"/>
  <sheetViews>
    <sheetView topLeftCell="A6" zoomScale="85" zoomScaleNormal="85" workbookViewId="0">
      <selection activeCell="H11" sqref="H11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6</v>
      </c>
      <c r="E4" s="30"/>
      <c r="F4" s="30"/>
      <c r="I4" s="26" t="s">
        <v>39</v>
      </c>
      <c r="J4" s="26"/>
      <c r="K4" s="30">
        <v>1</v>
      </c>
      <c r="L4" s="30"/>
      <c r="M4" s="30"/>
    </row>
    <row r="5" spans="2:20" ht="18.75" x14ac:dyDescent="0.25">
      <c r="C5" s="3" t="s">
        <v>31</v>
      </c>
      <c r="D5" s="31" t="s">
        <v>139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158</v>
      </c>
      <c r="E6" s="26"/>
      <c r="F6" s="26"/>
      <c r="I6" s="26" t="s">
        <v>33</v>
      </c>
      <c r="J6" s="26"/>
      <c r="K6" s="32" t="s">
        <v>157</v>
      </c>
      <c r="L6" s="32"/>
      <c r="M6" s="32"/>
    </row>
    <row r="7" spans="2:20" x14ac:dyDescent="0.25">
      <c r="C7" s="3" t="s">
        <v>34</v>
      </c>
      <c r="D7" s="25" t="s">
        <v>159</v>
      </c>
      <c r="E7" s="25"/>
      <c r="F7" s="25"/>
      <c r="I7" s="26" t="s">
        <v>35</v>
      </c>
      <c r="J7" s="26"/>
      <c r="K7" s="27"/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/>
      <c r="F11" s="20" t="s">
        <v>116</v>
      </c>
      <c r="G11" s="20" t="s">
        <v>116</v>
      </c>
      <c r="H11" s="21" t="s">
        <v>129</v>
      </c>
      <c r="I11" s="20" t="s">
        <v>116</v>
      </c>
      <c r="J11" s="22"/>
      <c r="K11" s="23" t="s">
        <v>131</v>
      </c>
      <c r="L11" s="20" t="s">
        <v>116</v>
      </c>
      <c r="M11" s="22"/>
      <c r="N11" s="22"/>
      <c r="T11" s="3"/>
    </row>
    <row r="12" spans="2:20" ht="30" x14ac:dyDescent="0.25">
      <c r="B12" s="7" t="s">
        <v>0</v>
      </c>
      <c r="C12" s="8" t="s">
        <v>17</v>
      </c>
      <c r="D12" s="4">
        <v>4</v>
      </c>
      <c r="E12" s="4">
        <v>4</v>
      </c>
      <c r="F12" s="4">
        <v>3</v>
      </c>
      <c r="G12" s="4">
        <v>3</v>
      </c>
      <c r="H12" s="4">
        <v>3</v>
      </c>
      <c r="I12" s="4">
        <v>2</v>
      </c>
      <c r="J12" s="4">
        <v>4</v>
      </c>
      <c r="K12" s="4">
        <v>0</v>
      </c>
      <c r="L12" s="4">
        <v>3</v>
      </c>
      <c r="M12" s="4">
        <v>3</v>
      </c>
      <c r="N12" s="1">
        <f t="shared" ref="N12:N24" si="0">IFERROR(AVERAGEIFS(D12:M12,D12:M12,"&gt;0"),"")</f>
        <v>3.2222222222222223</v>
      </c>
      <c r="T12" s="3"/>
    </row>
    <row r="13" spans="2:20" ht="30" x14ac:dyDescent="0.25">
      <c r="B13" s="7" t="s">
        <v>1</v>
      </c>
      <c r="C13" s="8" t="s">
        <v>18</v>
      </c>
      <c r="D13" s="18">
        <v>4</v>
      </c>
      <c r="E13" s="18">
        <v>4</v>
      </c>
      <c r="F13" s="18">
        <v>3</v>
      </c>
      <c r="G13" s="18">
        <v>4</v>
      </c>
      <c r="H13" s="18">
        <v>4</v>
      </c>
      <c r="I13" s="18">
        <v>4</v>
      </c>
      <c r="J13" s="18">
        <v>4</v>
      </c>
      <c r="K13" s="18">
        <v>0</v>
      </c>
      <c r="L13" s="18">
        <v>4</v>
      </c>
      <c r="M13" s="18"/>
      <c r="N13" s="1">
        <f t="shared" si="0"/>
        <v>3.875</v>
      </c>
      <c r="T13" s="3"/>
    </row>
    <row r="14" spans="2:20" ht="30" x14ac:dyDescent="0.25">
      <c r="B14" s="7" t="s">
        <v>2</v>
      </c>
      <c r="C14" s="8" t="s">
        <v>19</v>
      </c>
      <c r="D14" s="4">
        <v>4</v>
      </c>
      <c r="E14" s="4">
        <v>3</v>
      </c>
      <c r="F14" s="4">
        <v>4</v>
      </c>
      <c r="G14" s="4">
        <v>4</v>
      </c>
      <c r="H14" s="4">
        <v>3</v>
      </c>
      <c r="I14" s="4">
        <v>4</v>
      </c>
      <c r="J14" s="4">
        <v>4</v>
      </c>
      <c r="K14" s="4">
        <v>0</v>
      </c>
      <c r="L14" s="4">
        <v>4</v>
      </c>
      <c r="M14" s="4">
        <v>3</v>
      </c>
      <c r="N14" s="1">
        <f t="shared" si="0"/>
        <v>3.6666666666666665</v>
      </c>
      <c r="T14" s="3"/>
    </row>
    <row r="15" spans="2:20" ht="30" x14ac:dyDescent="0.25">
      <c r="B15" s="7" t="s">
        <v>4</v>
      </c>
      <c r="C15" s="8" t="s">
        <v>20</v>
      </c>
      <c r="D15" s="1">
        <v>4</v>
      </c>
      <c r="E15" s="1">
        <v>3</v>
      </c>
      <c r="F15" s="1">
        <v>4</v>
      </c>
      <c r="G15" s="1">
        <v>4</v>
      </c>
      <c r="H15" s="1">
        <v>3</v>
      </c>
      <c r="I15" s="1">
        <v>2</v>
      </c>
      <c r="J15" s="1">
        <v>4</v>
      </c>
      <c r="K15" s="1">
        <v>0</v>
      </c>
      <c r="L15" s="1">
        <v>4</v>
      </c>
      <c r="N15" s="1">
        <f t="shared" si="0"/>
        <v>3.5</v>
      </c>
      <c r="T15" s="3"/>
    </row>
    <row r="16" spans="2:20" ht="30" x14ac:dyDescent="0.25">
      <c r="B16" s="7" t="s">
        <v>3</v>
      </c>
      <c r="C16" s="8" t="s">
        <v>21</v>
      </c>
      <c r="D16" s="18">
        <v>3</v>
      </c>
      <c r="E16" s="18">
        <v>3</v>
      </c>
      <c r="F16" s="18">
        <v>4</v>
      </c>
      <c r="G16" s="18">
        <v>3</v>
      </c>
      <c r="H16" s="18">
        <v>3</v>
      </c>
      <c r="I16" s="18">
        <v>2</v>
      </c>
      <c r="J16" s="18">
        <v>3</v>
      </c>
      <c r="K16" s="18">
        <v>0</v>
      </c>
      <c r="L16" s="18">
        <v>4</v>
      </c>
      <c r="M16" s="18"/>
      <c r="N16" s="1">
        <f t="shared" si="0"/>
        <v>3.125</v>
      </c>
      <c r="T16" s="3"/>
    </row>
    <row r="17" spans="2:20" ht="45" x14ac:dyDescent="0.25">
      <c r="B17" s="7" t="s">
        <v>5</v>
      </c>
      <c r="C17" s="8" t="s">
        <v>22</v>
      </c>
      <c r="D17" s="18">
        <v>3</v>
      </c>
      <c r="E17" s="18">
        <v>3</v>
      </c>
      <c r="F17" s="18">
        <v>4</v>
      </c>
      <c r="G17" s="18">
        <v>3</v>
      </c>
      <c r="H17" s="18">
        <v>3</v>
      </c>
      <c r="I17" s="18">
        <v>3</v>
      </c>
      <c r="J17" s="18">
        <v>4</v>
      </c>
      <c r="K17" s="18">
        <v>0</v>
      </c>
      <c r="L17" s="18">
        <v>4</v>
      </c>
      <c r="M17" s="18"/>
      <c r="N17" s="1">
        <f t="shared" si="0"/>
        <v>3.375</v>
      </c>
      <c r="T17" s="3"/>
    </row>
    <row r="18" spans="2:20" x14ac:dyDescent="0.25">
      <c r="B18" s="7" t="s">
        <v>6</v>
      </c>
      <c r="C18" s="8" t="s">
        <v>23</v>
      </c>
      <c r="D18" s="1">
        <v>4</v>
      </c>
      <c r="E18" s="1">
        <v>3</v>
      </c>
      <c r="F18" s="1">
        <v>4</v>
      </c>
      <c r="G18" s="1">
        <v>4</v>
      </c>
      <c r="H18" s="1">
        <v>4</v>
      </c>
      <c r="I18" s="1">
        <v>3</v>
      </c>
      <c r="J18" s="1">
        <v>4</v>
      </c>
      <c r="K18" s="1">
        <v>0</v>
      </c>
      <c r="L18" s="1">
        <v>4</v>
      </c>
      <c r="N18" s="1">
        <f t="shared" si="0"/>
        <v>3.75</v>
      </c>
      <c r="T18" s="3"/>
    </row>
    <row r="19" spans="2:20" ht="30" x14ac:dyDescent="0.25">
      <c r="B19" s="7" t="s">
        <v>7</v>
      </c>
      <c r="C19" s="8" t="s">
        <v>24</v>
      </c>
      <c r="D19" s="4">
        <v>4</v>
      </c>
      <c r="E19" s="4">
        <v>2</v>
      </c>
      <c r="F19" s="4">
        <v>3</v>
      </c>
      <c r="G19" s="4">
        <v>4</v>
      </c>
      <c r="H19" s="4">
        <v>2</v>
      </c>
      <c r="I19" s="4">
        <v>4</v>
      </c>
      <c r="J19" s="4">
        <v>4</v>
      </c>
      <c r="K19" s="4">
        <v>0</v>
      </c>
      <c r="L19" s="4">
        <v>4</v>
      </c>
      <c r="M19" s="4">
        <v>3</v>
      </c>
      <c r="N19" s="1">
        <f t="shared" si="0"/>
        <v>3.3333333333333335</v>
      </c>
      <c r="T19" s="3"/>
    </row>
    <row r="20" spans="2:20" x14ac:dyDescent="0.25">
      <c r="B20" s="7" t="s">
        <v>8</v>
      </c>
      <c r="C20" s="8" t="s">
        <v>25</v>
      </c>
      <c r="D20" s="18">
        <v>4</v>
      </c>
      <c r="E20" s="18">
        <v>3</v>
      </c>
      <c r="F20" s="18">
        <v>3</v>
      </c>
      <c r="G20" s="18">
        <v>4</v>
      </c>
      <c r="H20" s="18">
        <v>2</v>
      </c>
      <c r="I20" s="18">
        <v>3</v>
      </c>
      <c r="J20" s="18">
        <v>4</v>
      </c>
      <c r="K20" s="18">
        <v>0</v>
      </c>
      <c r="L20" s="18">
        <v>4</v>
      </c>
      <c r="M20" s="18"/>
      <c r="N20" s="1">
        <f t="shared" si="0"/>
        <v>3.375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3</v>
      </c>
      <c r="F21" s="18">
        <v>4</v>
      </c>
      <c r="G21" s="18">
        <v>4</v>
      </c>
      <c r="H21" s="18">
        <v>3</v>
      </c>
      <c r="I21" s="18">
        <v>3</v>
      </c>
      <c r="J21" s="18">
        <v>4</v>
      </c>
      <c r="K21" s="18">
        <v>0</v>
      </c>
      <c r="L21" s="18">
        <v>4</v>
      </c>
      <c r="M21" s="18"/>
      <c r="N21" s="1">
        <f t="shared" si="0"/>
        <v>3.625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4</v>
      </c>
      <c r="F23" s="4">
        <v>3</v>
      </c>
      <c r="G23" s="4">
        <v>4</v>
      </c>
      <c r="H23" s="4">
        <v>4</v>
      </c>
      <c r="I23" s="4">
        <v>3</v>
      </c>
      <c r="J23" s="4">
        <v>4</v>
      </c>
      <c r="K23" s="4">
        <v>0</v>
      </c>
      <c r="L23" s="4">
        <v>4</v>
      </c>
      <c r="M23" s="4">
        <v>3</v>
      </c>
      <c r="N23" s="1">
        <f t="shared" si="0"/>
        <v>3.5555555555555554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38</v>
      </c>
      <c r="F25" s="1">
        <f t="shared" ref="F25:N25" si="1">SUM(F12:F23)</f>
        <v>42</v>
      </c>
      <c r="G25" s="1">
        <f t="shared" si="1"/>
        <v>44</v>
      </c>
      <c r="H25" s="1">
        <f t="shared" si="1"/>
        <v>37</v>
      </c>
      <c r="I25" s="1">
        <f t="shared" si="1"/>
        <v>36</v>
      </c>
      <c r="J25" s="1">
        <f t="shared" si="1"/>
        <v>46</v>
      </c>
      <c r="K25" s="1">
        <f t="shared" si="1"/>
        <v>0</v>
      </c>
      <c r="L25" s="1">
        <f t="shared" si="1"/>
        <v>46</v>
      </c>
      <c r="M25" s="1">
        <f t="shared" si="1"/>
        <v>15</v>
      </c>
      <c r="N25" s="16">
        <f t="shared" si="1"/>
        <v>41.402777777777779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C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C</v>
      </c>
      <c r="I26" s="1" t="str" cm="1">
        <f t="array" ref="I26">_xlfn.IFS(I25/48&gt;=0.9,"A",I25/48&gt;=0.8,"B",I25/48&gt;=0.7,"C",I25/48&gt;=0.6,"D",TRUE,"F")</f>
        <v>C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F</v>
      </c>
      <c r="N26" s="16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7C12-3865-4E12-8CFE-0190A7FB521F}">
  <sheetPr codeName="Sheet6"/>
  <dimension ref="B2:T26"/>
  <sheetViews>
    <sheetView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6</v>
      </c>
      <c r="E4" s="30"/>
      <c r="F4" s="30"/>
      <c r="I4" s="26" t="s">
        <v>39</v>
      </c>
      <c r="J4" s="26"/>
      <c r="K4" s="30">
        <v>3</v>
      </c>
      <c r="L4" s="30"/>
      <c r="M4" s="30"/>
    </row>
    <row r="5" spans="2:20" ht="18.75" x14ac:dyDescent="0.25">
      <c r="C5" s="3" t="s">
        <v>31</v>
      </c>
      <c r="D5" s="31" t="s">
        <v>138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/>
      <c r="E6" s="26"/>
      <c r="F6" s="26"/>
      <c r="I6" s="26" t="s">
        <v>33</v>
      </c>
      <c r="J6" s="26"/>
      <c r="K6" s="32" t="s">
        <v>132</v>
      </c>
      <c r="L6" s="32"/>
      <c r="M6" s="32"/>
    </row>
    <row r="7" spans="2:20" x14ac:dyDescent="0.25">
      <c r="C7" s="3" t="s">
        <v>34</v>
      </c>
      <c r="D7" s="25" t="s">
        <v>133</v>
      </c>
      <c r="E7" s="25"/>
      <c r="F7" s="25"/>
      <c r="I7" s="26" t="s">
        <v>35</v>
      </c>
      <c r="J7" s="26"/>
      <c r="K7" s="27" t="s">
        <v>1</v>
      </c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1" t="s">
        <v>129</v>
      </c>
      <c r="F11" s="20" t="s">
        <v>116</v>
      </c>
      <c r="G11" s="20" t="s">
        <v>116</v>
      </c>
      <c r="H11" s="23" t="s">
        <v>131</v>
      </c>
      <c r="I11" s="20" t="s">
        <v>116</v>
      </c>
      <c r="J11" s="21" t="s">
        <v>129</v>
      </c>
      <c r="K11" s="23" t="s">
        <v>131</v>
      </c>
      <c r="L11" s="20" t="s">
        <v>116</v>
      </c>
      <c r="M11" s="23" t="s">
        <v>131</v>
      </c>
      <c r="N11" s="22"/>
      <c r="T11" s="3"/>
    </row>
    <row r="12" spans="2:20" ht="30" x14ac:dyDescent="0.25">
      <c r="B12" s="7" t="s">
        <v>0</v>
      </c>
      <c r="C12" s="8" t="s">
        <v>17</v>
      </c>
      <c r="D12" s="4">
        <v>4</v>
      </c>
      <c r="E12" s="4">
        <v>4</v>
      </c>
      <c r="F12" s="4">
        <v>3</v>
      </c>
      <c r="G12" s="4">
        <v>4</v>
      </c>
      <c r="H12" s="4">
        <v>3</v>
      </c>
      <c r="I12" s="4">
        <v>4</v>
      </c>
      <c r="J12" s="4">
        <v>4</v>
      </c>
      <c r="K12" s="4">
        <v>0</v>
      </c>
      <c r="L12" s="4">
        <v>4</v>
      </c>
      <c r="M12" s="4">
        <v>3</v>
      </c>
      <c r="N12" s="1">
        <f t="shared" ref="N12:N24" si="0">IFERROR(AVERAGEIFS(D12:M12,D12:M12,"&gt;0"),"")</f>
        <v>3.6666666666666665</v>
      </c>
      <c r="T12" s="3"/>
    </row>
    <row r="13" spans="2:20" ht="30" x14ac:dyDescent="0.25">
      <c r="B13" s="7" t="s">
        <v>1</v>
      </c>
      <c r="C13" s="8" t="s">
        <v>18</v>
      </c>
      <c r="D13" s="9">
        <v>4</v>
      </c>
      <c r="E13" s="9">
        <v>4</v>
      </c>
      <c r="F13" s="9">
        <v>4</v>
      </c>
      <c r="G13" s="9">
        <v>4</v>
      </c>
      <c r="H13" s="9">
        <v>4</v>
      </c>
      <c r="I13" s="9">
        <v>4</v>
      </c>
      <c r="J13" s="9">
        <v>4</v>
      </c>
      <c r="K13" s="9">
        <v>0</v>
      </c>
      <c r="L13" s="9">
        <v>4</v>
      </c>
      <c r="M13" s="9">
        <v>4</v>
      </c>
      <c r="N13" s="1">
        <f t="shared" si="0"/>
        <v>4</v>
      </c>
      <c r="T13" s="3"/>
    </row>
    <row r="14" spans="2:20" ht="30" x14ac:dyDescent="0.25">
      <c r="B14" s="7" t="s">
        <v>2</v>
      </c>
      <c r="C14" s="8" t="s">
        <v>19</v>
      </c>
      <c r="D14" s="18">
        <v>4</v>
      </c>
      <c r="E14" s="18">
        <v>4</v>
      </c>
      <c r="F14" s="18">
        <v>3</v>
      </c>
      <c r="G14" s="18">
        <v>4</v>
      </c>
      <c r="H14" s="18"/>
      <c r="I14" s="18">
        <v>4</v>
      </c>
      <c r="J14" s="18">
        <v>4</v>
      </c>
      <c r="K14" s="18">
        <v>0</v>
      </c>
      <c r="L14" s="18">
        <v>4</v>
      </c>
      <c r="M14" s="18"/>
      <c r="N14" s="1">
        <f t="shared" si="0"/>
        <v>3.8571428571428572</v>
      </c>
      <c r="T14" s="3"/>
    </row>
    <row r="15" spans="2:20" ht="30" x14ac:dyDescent="0.25">
      <c r="B15" s="7" t="s">
        <v>4</v>
      </c>
      <c r="C15" s="8" t="s">
        <v>20</v>
      </c>
      <c r="D15" s="4">
        <v>3</v>
      </c>
      <c r="E15" s="4">
        <v>3</v>
      </c>
      <c r="F15" s="4">
        <v>3</v>
      </c>
      <c r="G15" s="4">
        <v>3</v>
      </c>
      <c r="H15" s="4">
        <v>3</v>
      </c>
      <c r="I15" s="4">
        <v>3</v>
      </c>
      <c r="J15" s="4">
        <v>3</v>
      </c>
      <c r="K15" s="4">
        <v>0</v>
      </c>
      <c r="L15" s="4">
        <v>3</v>
      </c>
      <c r="M15" s="4">
        <v>3</v>
      </c>
      <c r="N15" s="1">
        <f t="shared" si="0"/>
        <v>3</v>
      </c>
      <c r="T15" s="3"/>
    </row>
    <row r="16" spans="2:20" ht="30" x14ac:dyDescent="0.25">
      <c r="B16" s="7" t="s">
        <v>3</v>
      </c>
      <c r="C16" s="8" t="s">
        <v>21</v>
      </c>
      <c r="D16" s="4">
        <v>3</v>
      </c>
      <c r="E16" s="4">
        <v>3</v>
      </c>
      <c r="F16" s="4">
        <v>3</v>
      </c>
      <c r="G16" s="4">
        <v>3</v>
      </c>
      <c r="H16" s="4">
        <v>3</v>
      </c>
      <c r="I16" s="4">
        <v>3</v>
      </c>
      <c r="J16" s="4">
        <v>3</v>
      </c>
      <c r="K16" s="4">
        <v>0</v>
      </c>
      <c r="L16" s="4">
        <v>3</v>
      </c>
      <c r="M16" s="4">
        <v>3</v>
      </c>
      <c r="N16" s="1">
        <f t="shared" si="0"/>
        <v>3</v>
      </c>
      <c r="T16" s="3"/>
    </row>
    <row r="17" spans="2:20" ht="45" x14ac:dyDescent="0.25">
      <c r="B17" s="7" t="s">
        <v>5</v>
      </c>
      <c r="C17" s="8" t="s">
        <v>22</v>
      </c>
      <c r="D17" s="18">
        <v>4</v>
      </c>
      <c r="E17" s="18">
        <v>4</v>
      </c>
      <c r="F17" s="18">
        <v>3</v>
      </c>
      <c r="G17" s="18">
        <v>4</v>
      </c>
      <c r="H17" s="18"/>
      <c r="I17" s="18">
        <v>4</v>
      </c>
      <c r="J17" s="18">
        <v>3</v>
      </c>
      <c r="K17" s="18">
        <v>0</v>
      </c>
      <c r="L17" s="18">
        <v>4</v>
      </c>
      <c r="M17" s="18"/>
      <c r="N17" s="1">
        <f t="shared" si="0"/>
        <v>3.7142857142857144</v>
      </c>
      <c r="T17" s="3"/>
    </row>
    <row r="18" spans="2:20" x14ac:dyDescent="0.25">
      <c r="B18" s="7" t="s">
        <v>6</v>
      </c>
      <c r="C18" s="8" t="s">
        <v>23</v>
      </c>
      <c r="D18" s="4">
        <v>4</v>
      </c>
      <c r="E18" s="4">
        <v>3</v>
      </c>
      <c r="F18" s="4">
        <v>3</v>
      </c>
      <c r="G18" s="4">
        <v>4</v>
      </c>
      <c r="H18" s="4">
        <v>3</v>
      </c>
      <c r="I18" s="4">
        <v>4</v>
      </c>
      <c r="J18" s="4">
        <v>4</v>
      </c>
      <c r="K18" s="4">
        <v>0</v>
      </c>
      <c r="L18" s="4">
        <v>4</v>
      </c>
      <c r="M18" s="4">
        <v>3</v>
      </c>
      <c r="N18" s="1">
        <f t="shared" si="0"/>
        <v>3.5555555555555554</v>
      </c>
      <c r="T18" s="3"/>
    </row>
    <row r="19" spans="2:20" ht="30" x14ac:dyDescent="0.25">
      <c r="B19" s="7" t="s">
        <v>7</v>
      </c>
      <c r="C19" s="8" t="s">
        <v>24</v>
      </c>
      <c r="D19" s="18">
        <v>4</v>
      </c>
      <c r="E19" s="18">
        <v>4</v>
      </c>
      <c r="F19" s="18">
        <v>4</v>
      </c>
      <c r="G19" s="18">
        <v>4</v>
      </c>
      <c r="H19" s="18"/>
      <c r="I19" s="18">
        <v>3</v>
      </c>
      <c r="J19" s="18">
        <v>4</v>
      </c>
      <c r="K19" s="18">
        <v>0</v>
      </c>
      <c r="L19" s="18">
        <v>4</v>
      </c>
      <c r="M19" s="18"/>
      <c r="N19" s="1">
        <f t="shared" si="0"/>
        <v>3.8571428571428572</v>
      </c>
      <c r="T19" s="3"/>
    </row>
    <row r="20" spans="2:20" x14ac:dyDescent="0.25">
      <c r="B20" s="7" t="s">
        <v>8</v>
      </c>
      <c r="C20" s="8" t="s">
        <v>25</v>
      </c>
      <c r="D20" s="4">
        <v>4</v>
      </c>
      <c r="E20" s="4">
        <v>2</v>
      </c>
      <c r="F20" s="4">
        <v>3</v>
      </c>
      <c r="G20" s="4">
        <v>4</v>
      </c>
      <c r="H20" s="4">
        <v>2</v>
      </c>
      <c r="I20" s="4">
        <v>4</v>
      </c>
      <c r="J20" s="4">
        <v>2</v>
      </c>
      <c r="K20" s="4">
        <v>0</v>
      </c>
      <c r="L20" s="4">
        <v>4</v>
      </c>
      <c r="M20" s="4">
        <v>3</v>
      </c>
      <c r="N20" s="1">
        <f t="shared" si="0"/>
        <v>3.1111111111111112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/>
      <c r="I21" s="18">
        <v>4</v>
      </c>
      <c r="J21" s="18">
        <v>4</v>
      </c>
      <c r="K21" s="18">
        <v>0</v>
      </c>
      <c r="L21" s="18">
        <v>4</v>
      </c>
      <c r="M21" s="18"/>
      <c r="N21" s="1">
        <f t="shared" si="0"/>
        <v>4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3</v>
      </c>
      <c r="F23" s="4">
        <v>3</v>
      </c>
      <c r="G23" s="4">
        <v>3</v>
      </c>
      <c r="H23" s="4">
        <v>3</v>
      </c>
      <c r="I23" s="4">
        <v>3</v>
      </c>
      <c r="J23" s="4">
        <v>3</v>
      </c>
      <c r="K23" s="4">
        <v>0</v>
      </c>
      <c r="L23" s="4">
        <v>4</v>
      </c>
      <c r="M23" s="4">
        <v>3</v>
      </c>
      <c r="N23" s="1">
        <f t="shared" si="0"/>
        <v>3.1111111111111112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41</v>
      </c>
      <c r="F25" s="1">
        <f t="shared" ref="F25:N25" si="1">SUM(F12:F23)</f>
        <v>39</v>
      </c>
      <c r="G25" s="1">
        <f t="shared" si="1"/>
        <v>44</v>
      </c>
      <c r="H25" s="1">
        <f t="shared" si="1"/>
        <v>24</v>
      </c>
      <c r="I25" s="1">
        <f t="shared" si="1"/>
        <v>43</v>
      </c>
      <c r="J25" s="1">
        <f t="shared" si="1"/>
        <v>41</v>
      </c>
      <c r="K25" s="1">
        <f t="shared" si="1"/>
        <v>0</v>
      </c>
      <c r="L25" s="1">
        <f t="shared" si="1"/>
        <v>45</v>
      </c>
      <c r="M25" s="1">
        <f t="shared" si="1"/>
        <v>25</v>
      </c>
      <c r="N25" s="17">
        <f t="shared" si="1"/>
        <v>41.873015873015881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B</v>
      </c>
      <c r="F26" s="1" t="str" cm="1">
        <f t="array" ref="F26">_xlfn.IFS(F25/48&gt;=0.9,"A",F25/48&gt;=0.8,"B",F25/48&gt;=0.7,"C",F25/48&gt;=0.6,"D",TRUE,"F")</f>
        <v>B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F</v>
      </c>
      <c r="I26" s="1" t="str" cm="1">
        <f t="array" ref="I26">_xlfn.IFS(I25/48&gt;=0.9,"A",I25/48&gt;=0.8,"B",I25/48&gt;=0.7,"C",I25/48&gt;=0.6,"D",TRUE,"F")</f>
        <v>B</v>
      </c>
      <c r="J26" s="1" t="str" cm="1">
        <f t="array" ref="J26">_xlfn.IFS(J25/48&gt;=0.9,"A",J25/48&gt;=0.8,"B",J25/48&gt;=0.7,"C",J25/48&gt;=0.6,"D",TRUE,"F")</f>
        <v>B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F</v>
      </c>
      <c r="N26" s="16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  <ignoredErrors>
    <ignoredError sqref="E24" formula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BA280-FD8B-4C7E-BC0D-EF8B0C6A5FFB}">
  <sheetPr codeName="Sheet15"/>
  <dimension ref="B2:T26"/>
  <sheetViews>
    <sheetView zoomScale="85" zoomScaleNormal="85" workbookViewId="0">
      <selection activeCell="E25" sqref="E25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7</v>
      </c>
      <c r="E4" s="30"/>
      <c r="F4" s="30"/>
      <c r="I4" s="26" t="s">
        <v>39</v>
      </c>
      <c r="J4" s="26"/>
      <c r="K4" s="30">
        <v>1</v>
      </c>
      <c r="L4" s="30"/>
      <c r="M4" s="30"/>
    </row>
    <row r="5" spans="2:20" ht="18.75" x14ac:dyDescent="0.25">
      <c r="C5" s="3" t="s">
        <v>31</v>
      </c>
      <c r="D5" s="31" t="s">
        <v>164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162</v>
      </c>
      <c r="E6" s="26"/>
      <c r="F6" s="26"/>
      <c r="I6" s="26" t="s">
        <v>33</v>
      </c>
      <c r="J6" s="26"/>
      <c r="K6" s="32" t="s">
        <v>163</v>
      </c>
      <c r="L6" s="32"/>
      <c r="M6" s="32"/>
    </row>
    <row r="7" spans="2:20" x14ac:dyDescent="0.25">
      <c r="C7" s="3" t="s">
        <v>34</v>
      </c>
      <c r="D7" s="25" t="s">
        <v>161</v>
      </c>
      <c r="E7" s="25"/>
      <c r="F7" s="25"/>
      <c r="I7" s="26" t="s">
        <v>35</v>
      </c>
      <c r="J7" s="26"/>
      <c r="K7" s="27" t="s">
        <v>0</v>
      </c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1" t="s">
        <v>129</v>
      </c>
      <c r="I11" s="20" t="s">
        <v>116</v>
      </c>
      <c r="J11" s="20" t="s">
        <v>116</v>
      </c>
      <c r="K11" s="23" t="s">
        <v>131</v>
      </c>
      <c r="L11" s="21" t="s">
        <v>129</v>
      </c>
      <c r="M11" s="21" t="s">
        <v>129</v>
      </c>
      <c r="N11" s="22"/>
      <c r="T11" s="3"/>
    </row>
    <row r="12" spans="2:20" ht="30" x14ac:dyDescent="0.25">
      <c r="B12" s="7" t="s">
        <v>0</v>
      </c>
      <c r="C12" s="8" t="s">
        <v>17</v>
      </c>
      <c r="D12" s="9">
        <v>4</v>
      </c>
      <c r="E12" s="9">
        <v>4</v>
      </c>
      <c r="F12" s="9">
        <v>4</v>
      </c>
      <c r="G12" s="9">
        <v>4</v>
      </c>
      <c r="H12" s="9">
        <v>4</v>
      </c>
      <c r="I12" s="9">
        <v>4</v>
      </c>
      <c r="J12" s="9">
        <v>4</v>
      </c>
      <c r="K12" s="9">
        <v>0</v>
      </c>
      <c r="L12" s="9">
        <v>4</v>
      </c>
      <c r="M12" s="9">
        <v>4</v>
      </c>
      <c r="N12" s="1">
        <f t="shared" ref="N12:N24" si="0">IFERROR(AVERAGEIFS(D12:M12,D12:M12,"&gt;0"),"")</f>
        <v>4</v>
      </c>
      <c r="T12" s="3"/>
    </row>
    <row r="13" spans="2:20" ht="30" x14ac:dyDescent="0.25">
      <c r="B13" s="7" t="s">
        <v>1</v>
      </c>
      <c r="C13" s="8" t="s">
        <v>18</v>
      </c>
      <c r="D13" s="4">
        <v>3</v>
      </c>
      <c r="E13" s="4">
        <v>4</v>
      </c>
      <c r="F13" s="4">
        <v>3</v>
      </c>
      <c r="G13" s="4">
        <v>4</v>
      </c>
      <c r="H13" s="4">
        <v>3</v>
      </c>
      <c r="I13" s="4">
        <v>3</v>
      </c>
      <c r="J13" s="4">
        <v>4</v>
      </c>
      <c r="K13" s="4">
        <v>0</v>
      </c>
      <c r="L13" s="4">
        <v>4</v>
      </c>
      <c r="M13" s="4">
        <v>4</v>
      </c>
      <c r="N13" s="1">
        <f t="shared" si="0"/>
        <v>3.5555555555555554</v>
      </c>
      <c r="T13" s="3"/>
    </row>
    <row r="14" spans="2:20" ht="30" x14ac:dyDescent="0.25">
      <c r="B14" s="7" t="s">
        <v>2</v>
      </c>
      <c r="C14" s="8" t="s">
        <v>19</v>
      </c>
      <c r="D14" s="1">
        <v>4</v>
      </c>
      <c r="E14" s="1">
        <v>4</v>
      </c>
      <c r="F14" s="1">
        <v>4</v>
      </c>
      <c r="G14" s="1">
        <v>4</v>
      </c>
      <c r="H14" s="1">
        <v>3</v>
      </c>
      <c r="I14" s="1">
        <v>4</v>
      </c>
      <c r="J14" s="1">
        <v>4</v>
      </c>
      <c r="K14" s="1">
        <v>0</v>
      </c>
      <c r="L14" s="1">
        <v>4</v>
      </c>
      <c r="M14" s="1">
        <v>3</v>
      </c>
      <c r="N14" s="1">
        <f t="shared" si="0"/>
        <v>3.7777777777777777</v>
      </c>
      <c r="T14" s="3"/>
    </row>
    <row r="15" spans="2:20" ht="30" x14ac:dyDescent="0.25">
      <c r="B15" s="7" t="s">
        <v>4</v>
      </c>
      <c r="C15" s="8" t="s">
        <v>20</v>
      </c>
      <c r="D15" s="18">
        <v>4</v>
      </c>
      <c r="E15" s="18">
        <v>4</v>
      </c>
      <c r="F15" s="18">
        <v>4</v>
      </c>
      <c r="G15" s="18">
        <v>4</v>
      </c>
      <c r="H15" s="18">
        <v>3</v>
      </c>
      <c r="I15" s="18">
        <v>4</v>
      </c>
      <c r="J15" s="18">
        <v>4</v>
      </c>
      <c r="K15" s="18">
        <v>0</v>
      </c>
      <c r="L15" s="18">
        <v>4</v>
      </c>
      <c r="M15" s="18">
        <v>4</v>
      </c>
      <c r="N15" s="1">
        <f t="shared" si="0"/>
        <v>3.8888888888888888</v>
      </c>
      <c r="T15" s="3"/>
    </row>
    <row r="16" spans="2:20" ht="30" x14ac:dyDescent="0.25">
      <c r="B16" s="7" t="s">
        <v>3</v>
      </c>
      <c r="C16" s="8" t="s">
        <v>21</v>
      </c>
      <c r="D16" s="4">
        <v>3</v>
      </c>
      <c r="E16" s="4">
        <v>3</v>
      </c>
      <c r="F16" s="4">
        <v>3</v>
      </c>
      <c r="G16" s="4">
        <v>3</v>
      </c>
      <c r="H16" s="4">
        <v>3</v>
      </c>
      <c r="I16" s="4">
        <v>3</v>
      </c>
      <c r="J16" s="4">
        <v>3</v>
      </c>
      <c r="K16" s="4">
        <v>0</v>
      </c>
      <c r="L16" s="4">
        <v>3</v>
      </c>
      <c r="M16" s="4">
        <v>3</v>
      </c>
      <c r="N16" s="1">
        <f t="shared" si="0"/>
        <v>3</v>
      </c>
      <c r="T16" s="3"/>
    </row>
    <row r="17" spans="2:20" ht="45" x14ac:dyDescent="0.25">
      <c r="B17" s="7" t="s">
        <v>5</v>
      </c>
      <c r="C17" s="8" t="s">
        <v>22</v>
      </c>
      <c r="D17" s="1">
        <v>3</v>
      </c>
      <c r="E17" s="1">
        <v>4</v>
      </c>
      <c r="F17" s="1">
        <v>4</v>
      </c>
      <c r="G17" s="1">
        <v>4</v>
      </c>
      <c r="H17" s="1">
        <v>3</v>
      </c>
      <c r="I17" s="1">
        <v>4</v>
      </c>
      <c r="J17" s="1">
        <v>4</v>
      </c>
      <c r="K17" s="1">
        <v>0</v>
      </c>
      <c r="L17" s="1">
        <v>4</v>
      </c>
      <c r="M17" s="1">
        <v>3</v>
      </c>
      <c r="N17" s="1">
        <f t="shared" si="0"/>
        <v>3.6666666666666665</v>
      </c>
      <c r="T17" s="3"/>
    </row>
    <row r="18" spans="2:20" x14ac:dyDescent="0.25">
      <c r="B18" s="7" t="s">
        <v>6</v>
      </c>
      <c r="C18" s="8" t="s">
        <v>23</v>
      </c>
      <c r="D18" s="18">
        <v>3</v>
      </c>
      <c r="E18" s="18">
        <v>4</v>
      </c>
      <c r="F18" s="18">
        <v>4</v>
      </c>
      <c r="G18" s="18">
        <v>4</v>
      </c>
      <c r="H18" s="18">
        <v>4</v>
      </c>
      <c r="I18" s="18">
        <v>4</v>
      </c>
      <c r="J18" s="18">
        <v>4</v>
      </c>
      <c r="K18" s="18">
        <v>0</v>
      </c>
      <c r="L18" s="18">
        <v>4</v>
      </c>
      <c r="M18" s="18">
        <v>4</v>
      </c>
      <c r="N18" s="1">
        <f t="shared" si="0"/>
        <v>3.8888888888888888</v>
      </c>
      <c r="T18" s="3"/>
    </row>
    <row r="19" spans="2:20" ht="30" x14ac:dyDescent="0.25">
      <c r="B19" s="7" t="s">
        <v>7</v>
      </c>
      <c r="C19" s="8" t="s">
        <v>24</v>
      </c>
      <c r="D19" s="1">
        <v>4</v>
      </c>
      <c r="E19" s="1">
        <v>4</v>
      </c>
      <c r="F19" s="1">
        <v>4</v>
      </c>
      <c r="G19" s="1">
        <v>4</v>
      </c>
      <c r="H19" s="1">
        <v>4</v>
      </c>
      <c r="I19" s="1">
        <v>4</v>
      </c>
      <c r="J19" s="1">
        <v>4</v>
      </c>
      <c r="K19" s="1">
        <v>0</v>
      </c>
      <c r="L19" s="1">
        <v>4</v>
      </c>
      <c r="M19" s="1">
        <v>4</v>
      </c>
      <c r="N19" s="1">
        <f t="shared" si="0"/>
        <v>4</v>
      </c>
      <c r="T19" s="3"/>
    </row>
    <row r="20" spans="2:20" x14ac:dyDescent="0.25">
      <c r="B20" s="7" t="s">
        <v>8</v>
      </c>
      <c r="C20" s="8" t="s">
        <v>25</v>
      </c>
      <c r="D20" s="18">
        <v>4</v>
      </c>
      <c r="E20" s="18">
        <v>4</v>
      </c>
      <c r="F20" s="18">
        <v>4</v>
      </c>
      <c r="G20" s="18">
        <v>4</v>
      </c>
      <c r="H20" s="18">
        <v>3</v>
      </c>
      <c r="I20" s="18">
        <v>4</v>
      </c>
      <c r="J20" s="18">
        <v>4</v>
      </c>
      <c r="K20" s="18">
        <v>0</v>
      </c>
      <c r="L20" s="18">
        <v>4</v>
      </c>
      <c r="M20" s="18">
        <v>2</v>
      </c>
      <c r="N20" s="1">
        <f t="shared" si="0"/>
        <v>3.6666666666666665</v>
      </c>
      <c r="T20" s="3"/>
    </row>
    <row r="21" spans="2:20" x14ac:dyDescent="0.25">
      <c r="B21" s="7" t="s">
        <v>9</v>
      </c>
      <c r="C21" s="8" t="s">
        <v>26</v>
      </c>
      <c r="D21" s="1">
        <v>3</v>
      </c>
      <c r="E21" s="1">
        <v>4</v>
      </c>
      <c r="F21" s="1">
        <v>4</v>
      </c>
      <c r="G21" s="1">
        <v>4</v>
      </c>
      <c r="H21" s="1">
        <v>3</v>
      </c>
      <c r="I21" s="1">
        <v>4</v>
      </c>
      <c r="J21" s="1">
        <v>4</v>
      </c>
      <c r="K21" s="1">
        <v>0</v>
      </c>
      <c r="L21" s="1">
        <v>4</v>
      </c>
      <c r="M21" s="1">
        <v>4</v>
      </c>
      <c r="N21" s="1">
        <f t="shared" si="0"/>
        <v>3.7777777777777777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4">
        <v>3</v>
      </c>
      <c r="E23" s="4">
        <v>3</v>
      </c>
      <c r="F23" s="4">
        <v>3</v>
      </c>
      <c r="G23" s="4">
        <v>3</v>
      </c>
      <c r="H23" s="4">
        <v>3</v>
      </c>
      <c r="I23" s="4">
        <v>4</v>
      </c>
      <c r="J23" s="4">
        <v>3</v>
      </c>
      <c r="K23" s="4">
        <v>0</v>
      </c>
      <c r="L23" s="4">
        <v>4</v>
      </c>
      <c r="M23" s="4">
        <v>3</v>
      </c>
      <c r="N23" s="1">
        <f t="shared" si="0"/>
        <v>3.2222222222222223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41</v>
      </c>
      <c r="E25" s="1">
        <f>SUM(E12:E23)</f>
        <v>45</v>
      </c>
      <c r="F25" s="1">
        <f t="shared" ref="F25:N25" si="1">SUM(F12:F23)</f>
        <v>44</v>
      </c>
      <c r="G25" s="1">
        <f t="shared" si="1"/>
        <v>45</v>
      </c>
      <c r="H25" s="1">
        <f t="shared" si="1"/>
        <v>39</v>
      </c>
      <c r="I25" s="1">
        <f t="shared" si="1"/>
        <v>45</v>
      </c>
      <c r="J25" s="1">
        <f t="shared" si="1"/>
        <v>45</v>
      </c>
      <c r="K25" s="1">
        <f t="shared" si="1"/>
        <v>0</v>
      </c>
      <c r="L25" s="1">
        <f t="shared" si="1"/>
        <v>46</v>
      </c>
      <c r="M25" s="1">
        <f t="shared" si="1"/>
        <v>41</v>
      </c>
      <c r="N25" s="16">
        <f t="shared" si="1"/>
        <v>43.444444444444443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B</v>
      </c>
      <c r="E26" s="1" t="str" cm="1">
        <f t="array" ref="E26">_xlfn.IFS(E25/48&gt;=0.9,"A",E25/48&gt;=0.8,"B",E25/48&gt;=0.7,"C",E25/48&gt;=0.6,"D",TRUE,"F")</f>
        <v>A</v>
      </c>
      <c r="F26" s="1" t="str" cm="1">
        <f t="array" ref="F26">_xlfn.IFS(F25/48&gt;=0.9,"A",F25/48&gt;=0.8,"B",F25/48&gt;=0.7,"C",F25/48&gt;=0.6,"D",TRUE,"F")</f>
        <v>A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B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6" t="str" cm="1">
        <f t="array" ref="N26">_xlfn.IFS(N25/48&gt;=0.9,"A",N25/48&gt;=0.8,"B",N25/48&gt;=0.7,"C",N25/48&gt;=0.6,"D",TRUE,"F")</f>
        <v>A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40430-2C3A-4163-960D-7BDAD6262EBF}">
  <sheetPr codeName="Sheet16"/>
  <dimension ref="B2:T26"/>
  <sheetViews>
    <sheetView zoomScale="85" zoomScaleNormal="85" workbookViewId="0">
      <selection activeCell="H11" sqref="H11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7</v>
      </c>
      <c r="E4" s="30"/>
      <c r="F4" s="30"/>
      <c r="I4" s="26" t="s">
        <v>39</v>
      </c>
      <c r="J4" s="26"/>
      <c r="K4" s="30">
        <v>2</v>
      </c>
      <c r="L4" s="30"/>
      <c r="M4" s="30"/>
    </row>
    <row r="5" spans="2:20" ht="18.75" x14ac:dyDescent="0.25">
      <c r="C5" s="3" t="s">
        <v>31</v>
      </c>
      <c r="D5" s="31" t="s">
        <v>165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166</v>
      </c>
      <c r="E6" s="26"/>
      <c r="F6" s="26"/>
      <c r="I6" s="26" t="s">
        <v>33</v>
      </c>
      <c r="J6" s="26"/>
      <c r="K6" s="32" t="s">
        <v>168</v>
      </c>
      <c r="L6" s="32"/>
      <c r="M6" s="32"/>
    </row>
    <row r="7" spans="2:20" x14ac:dyDescent="0.25">
      <c r="C7" s="3" t="s">
        <v>34</v>
      </c>
      <c r="D7" s="25" t="s">
        <v>167</v>
      </c>
      <c r="E7" s="25"/>
      <c r="F7" s="25"/>
      <c r="I7" s="26" t="s">
        <v>35</v>
      </c>
      <c r="J7" s="26"/>
      <c r="K7" s="27"/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1" t="s">
        <v>129</v>
      </c>
      <c r="I11" s="20" t="s">
        <v>116</v>
      </c>
      <c r="J11" s="20" t="s">
        <v>116</v>
      </c>
      <c r="K11" s="23" t="s">
        <v>131</v>
      </c>
      <c r="L11" s="20" t="s">
        <v>116</v>
      </c>
      <c r="M11" s="21" t="s">
        <v>129</v>
      </c>
      <c r="N11" s="22"/>
      <c r="T11" s="3"/>
    </row>
    <row r="12" spans="2:20" ht="30" x14ac:dyDescent="0.25">
      <c r="B12" s="7" t="s">
        <v>0</v>
      </c>
      <c r="C12" s="8" t="s">
        <v>17</v>
      </c>
      <c r="D12" s="4">
        <v>4</v>
      </c>
      <c r="E12" s="4">
        <v>4</v>
      </c>
      <c r="F12" s="4">
        <v>3</v>
      </c>
      <c r="G12" s="4">
        <v>4</v>
      </c>
      <c r="H12" s="4">
        <v>4</v>
      </c>
      <c r="I12" s="4">
        <v>4</v>
      </c>
      <c r="J12" s="4">
        <v>4</v>
      </c>
      <c r="K12" s="4">
        <v>0</v>
      </c>
      <c r="L12" s="4">
        <v>4</v>
      </c>
      <c r="M12" s="4">
        <v>4</v>
      </c>
      <c r="N12" s="1">
        <f t="shared" ref="N12:N24" si="0">IFERROR(AVERAGEIFS(D12:M12,D12:M12,"&gt;0"),"")</f>
        <v>3.8888888888888888</v>
      </c>
      <c r="T12" s="3"/>
    </row>
    <row r="13" spans="2:20" ht="30" x14ac:dyDescent="0.25">
      <c r="B13" s="7" t="s">
        <v>1</v>
      </c>
      <c r="C13" s="8" t="s">
        <v>18</v>
      </c>
      <c r="D13" s="4">
        <v>4</v>
      </c>
      <c r="E13" s="4">
        <v>4</v>
      </c>
      <c r="F13" s="4">
        <v>3</v>
      </c>
      <c r="G13" s="4">
        <v>4</v>
      </c>
      <c r="H13" s="4">
        <v>3</v>
      </c>
      <c r="I13" s="4">
        <v>4</v>
      </c>
      <c r="J13" s="4">
        <v>4</v>
      </c>
      <c r="K13" s="4">
        <v>0</v>
      </c>
      <c r="L13" s="4">
        <v>4</v>
      </c>
      <c r="M13" s="4">
        <v>4</v>
      </c>
      <c r="N13" s="1">
        <f t="shared" si="0"/>
        <v>3.7777777777777777</v>
      </c>
      <c r="T13" s="3"/>
    </row>
    <row r="14" spans="2:20" ht="30" x14ac:dyDescent="0.25">
      <c r="B14" s="7" t="s">
        <v>2</v>
      </c>
      <c r="C14" s="8" t="s">
        <v>19</v>
      </c>
      <c r="D14" s="1">
        <v>4</v>
      </c>
      <c r="E14" s="1">
        <v>3</v>
      </c>
      <c r="F14" s="1">
        <v>3</v>
      </c>
      <c r="G14" s="1">
        <v>4</v>
      </c>
      <c r="H14" s="1">
        <v>4</v>
      </c>
      <c r="I14" s="1">
        <v>4</v>
      </c>
      <c r="J14" s="1">
        <v>4</v>
      </c>
      <c r="K14" s="1">
        <v>0</v>
      </c>
      <c r="L14" s="1">
        <v>3</v>
      </c>
      <c r="M14" s="1">
        <v>4</v>
      </c>
      <c r="N14" s="1">
        <f t="shared" si="0"/>
        <v>3.6666666666666665</v>
      </c>
      <c r="T14" s="3"/>
    </row>
    <row r="15" spans="2:20" ht="30" x14ac:dyDescent="0.25">
      <c r="B15" s="7" t="s">
        <v>4</v>
      </c>
      <c r="C15" s="8" t="s">
        <v>20</v>
      </c>
      <c r="D15" s="18">
        <v>4</v>
      </c>
      <c r="E15" s="18">
        <v>3</v>
      </c>
      <c r="F15" s="18">
        <v>3</v>
      </c>
      <c r="G15" s="18">
        <v>3</v>
      </c>
      <c r="H15" s="18">
        <v>3</v>
      </c>
      <c r="I15" s="18">
        <v>4</v>
      </c>
      <c r="J15" s="18">
        <v>4</v>
      </c>
      <c r="K15" s="18">
        <v>0</v>
      </c>
      <c r="L15" s="18">
        <v>4</v>
      </c>
      <c r="M15" s="18">
        <v>4</v>
      </c>
      <c r="N15" s="1">
        <f t="shared" si="0"/>
        <v>3.5555555555555554</v>
      </c>
      <c r="T15" s="3"/>
    </row>
    <row r="16" spans="2:20" ht="30" x14ac:dyDescent="0.25">
      <c r="B16" s="7" t="s">
        <v>3</v>
      </c>
      <c r="C16" s="8" t="s">
        <v>21</v>
      </c>
      <c r="D16" s="4">
        <v>3</v>
      </c>
      <c r="E16" s="4">
        <v>3</v>
      </c>
      <c r="F16" s="4">
        <v>3</v>
      </c>
      <c r="G16" s="4">
        <v>3</v>
      </c>
      <c r="H16" s="4">
        <v>3</v>
      </c>
      <c r="I16" s="4">
        <v>3</v>
      </c>
      <c r="J16" s="4">
        <v>3</v>
      </c>
      <c r="K16" s="4">
        <v>0</v>
      </c>
      <c r="L16" s="4">
        <v>3</v>
      </c>
      <c r="M16" s="4">
        <v>3</v>
      </c>
      <c r="N16" s="1">
        <f t="shared" si="0"/>
        <v>3</v>
      </c>
      <c r="T16" s="3"/>
    </row>
    <row r="17" spans="2:20" ht="45" x14ac:dyDescent="0.25">
      <c r="B17" s="7" t="s">
        <v>5</v>
      </c>
      <c r="C17" s="8" t="s">
        <v>22</v>
      </c>
      <c r="D17" s="1">
        <v>4</v>
      </c>
      <c r="E17" s="1">
        <v>4</v>
      </c>
      <c r="F17" s="1">
        <v>3</v>
      </c>
      <c r="G17" s="1">
        <v>3</v>
      </c>
      <c r="H17" s="1">
        <v>4</v>
      </c>
      <c r="I17" s="1">
        <v>4</v>
      </c>
      <c r="J17" s="1">
        <v>4</v>
      </c>
      <c r="K17" s="1">
        <v>0</v>
      </c>
      <c r="L17" s="1">
        <v>4</v>
      </c>
      <c r="M17" s="1">
        <v>3</v>
      </c>
      <c r="N17" s="1">
        <f t="shared" si="0"/>
        <v>3.6666666666666665</v>
      </c>
      <c r="T17" s="3"/>
    </row>
    <row r="18" spans="2:20" x14ac:dyDescent="0.25">
      <c r="B18" s="7" t="s">
        <v>6</v>
      </c>
      <c r="C18" s="8" t="s">
        <v>23</v>
      </c>
      <c r="D18" s="18">
        <v>4</v>
      </c>
      <c r="E18" s="18">
        <v>4</v>
      </c>
      <c r="F18" s="18">
        <v>3</v>
      </c>
      <c r="G18" s="18">
        <v>4</v>
      </c>
      <c r="H18" s="18">
        <v>3</v>
      </c>
      <c r="I18" s="18">
        <v>4</v>
      </c>
      <c r="J18" s="18">
        <v>3</v>
      </c>
      <c r="K18" s="18">
        <v>0</v>
      </c>
      <c r="L18" s="18">
        <v>4</v>
      </c>
      <c r="M18" s="18">
        <v>4</v>
      </c>
      <c r="N18" s="1">
        <f t="shared" si="0"/>
        <v>3.6666666666666665</v>
      </c>
      <c r="T18" s="3"/>
    </row>
    <row r="19" spans="2:20" ht="30" x14ac:dyDescent="0.25">
      <c r="B19" s="7" t="s">
        <v>7</v>
      </c>
      <c r="C19" s="8" t="s">
        <v>24</v>
      </c>
      <c r="D19" s="1">
        <v>4</v>
      </c>
      <c r="E19" s="1">
        <v>4</v>
      </c>
      <c r="F19" s="1">
        <v>3</v>
      </c>
      <c r="G19" s="1">
        <v>4</v>
      </c>
      <c r="H19" s="1">
        <v>4</v>
      </c>
      <c r="I19" s="1">
        <v>4</v>
      </c>
      <c r="J19" s="1">
        <v>4</v>
      </c>
      <c r="K19" s="1">
        <v>0</v>
      </c>
      <c r="L19" s="1">
        <v>3</v>
      </c>
      <c r="M19" s="1">
        <v>3</v>
      </c>
      <c r="N19" s="1">
        <f t="shared" si="0"/>
        <v>3.6666666666666665</v>
      </c>
      <c r="T19" s="3"/>
    </row>
    <row r="20" spans="2:20" x14ac:dyDescent="0.25">
      <c r="B20" s="7" t="s">
        <v>8</v>
      </c>
      <c r="C20" s="8" t="s">
        <v>25</v>
      </c>
      <c r="D20" s="18">
        <v>3</v>
      </c>
      <c r="E20" s="18">
        <v>4</v>
      </c>
      <c r="F20" s="18">
        <v>3</v>
      </c>
      <c r="G20" s="18">
        <v>4</v>
      </c>
      <c r="H20" s="18">
        <v>2</v>
      </c>
      <c r="I20" s="18">
        <v>4</v>
      </c>
      <c r="J20" s="18">
        <v>4</v>
      </c>
      <c r="K20" s="18">
        <v>0</v>
      </c>
      <c r="L20" s="18">
        <v>4</v>
      </c>
      <c r="M20" s="18">
        <v>3</v>
      </c>
      <c r="N20" s="1">
        <f t="shared" si="0"/>
        <v>3.4444444444444446</v>
      </c>
      <c r="T20" s="3"/>
    </row>
    <row r="21" spans="2:20" x14ac:dyDescent="0.25">
      <c r="B21" s="7" t="s">
        <v>9</v>
      </c>
      <c r="C21" s="8" t="s">
        <v>26</v>
      </c>
      <c r="D21" s="18">
        <v>3</v>
      </c>
      <c r="E21" s="18">
        <v>4</v>
      </c>
      <c r="F21" s="18">
        <v>3</v>
      </c>
      <c r="G21" s="18">
        <v>4</v>
      </c>
      <c r="H21" s="18">
        <v>3</v>
      </c>
      <c r="I21" s="18">
        <v>4</v>
      </c>
      <c r="J21" s="18">
        <v>4</v>
      </c>
      <c r="K21" s="18">
        <v>0</v>
      </c>
      <c r="L21" s="18">
        <v>4</v>
      </c>
      <c r="M21" s="18">
        <v>4</v>
      </c>
      <c r="N21" s="1">
        <f t="shared" si="0"/>
        <v>3.6666666666666665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18">
        <v>4</v>
      </c>
      <c r="E23" s="18">
        <v>4</v>
      </c>
      <c r="F23" s="18">
        <v>3</v>
      </c>
      <c r="G23" s="18">
        <v>4</v>
      </c>
      <c r="H23" s="18">
        <v>3</v>
      </c>
      <c r="I23" s="18">
        <v>4</v>
      </c>
      <c r="J23" s="18">
        <v>3</v>
      </c>
      <c r="K23" s="18">
        <v>0</v>
      </c>
      <c r="L23" s="18">
        <v>4</v>
      </c>
      <c r="M23" s="18">
        <v>4</v>
      </c>
      <c r="N23" s="1">
        <f t="shared" si="0"/>
        <v>3.6666666666666665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44</v>
      </c>
      <c r="F25" s="1">
        <f t="shared" ref="F25:N25" si="1">SUM(F12:F23)</f>
        <v>36</v>
      </c>
      <c r="G25" s="1">
        <f t="shared" si="1"/>
        <v>44</v>
      </c>
      <c r="H25" s="1">
        <f t="shared" si="1"/>
        <v>39</v>
      </c>
      <c r="I25" s="1">
        <f t="shared" si="1"/>
        <v>46</v>
      </c>
      <c r="J25" s="1">
        <f t="shared" si="1"/>
        <v>44</v>
      </c>
      <c r="K25" s="1">
        <f t="shared" si="1"/>
        <v>0</v>
      </c>
      <c r="L25" s="1">
        <f t="shared" si="1"/>
        <v>44</v>
      </c>
      <c r="M25" s="1">
        <f t="shared" si="1"/>
        <v>43</v>
      </c>
      <c r="N25" s="16">
        <f t="shared" si="1"/>
        <v>42.666666666666664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A</v>
      </c>
      <c r="F26" s="1" t="str" cm="1">
        <f t="array" ref="F26">_xlfn.IFS(F25/48&gt;=0.9,"A",F25/48&gt;=0.8,"B",F25/48&gt;=0.7,"C",F25/48&gt;=0.6,"D",TRUE,"F")</f>
        <v>C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B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A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B</v>
      </c>
      <c r="N26" s="16" t="str" cm="1">
        <f t="array" ref="N26">_xlfn.IFS(N25/48&gt;=0.9,"A",N25/48&gt;=0.8,"B",N25/48&gt;=0.7,"C",N25/48&gt;=0.6,"D",TRUE,"F")</f>
        <v>B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7F37C-8E08-4DF4-9878-BD0BA476E804}">
  <sheetPr codeName="Sheet17"/>
  <dimension ref="B2:T26"/>
  <sheetViews>
    <sheetView topLeftCell="A7" zoomScale="85" zoomScaleNormal="85" workbookViewId="0">
      <selection activeCell="H19" sqref="H19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3</v>
      </c>
      <c r="E4" s="30"/>
      <c r="F4" s="30"/>
      <c r="I4" s="26" t="s">
        <v>39</v>
      </c>
      <c r="J4" s="26"/>
      <c r="K4" s="30">
        <v>2</v>
      </c>
      <c r="L4" s="30"/>
      <c r="M4" s="30"/>
    </row>
    <row r="5" spans="2:20" ht="18.75" x14ac:dyDescent="0.25">
      <c r="C5" s="3" t="s">
        <v>31</v>
      </c>
      <c r="D5" s="31" t="s">
        <v>40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0</v>
      </c>
      <c r="E6" s="26"/>
      <c r="F6" s="26"/>
      <c r="I6" s="26" t="s">
        <v>33</v>
      </c>
      <c r="J6" s="26"/>
      <c r="K6" s="32" t="s">
        <v>171</v>
      </c>
      <c r="L6" s="32"/>
      <c r="M6" s="32"/>
    </row>
    <row r="7" spans="2:20" x14ac:dyDescent="0.25">
      <c r="C7" s="3" t="s">
        <v>34</v>
      </c>
      <c r="D7" s="25" t="s">
        <v>10</v>
      </c>
      <c r="E7" s="25"/>
      <c r="F7" s="25"/>
      <c r="I7" s="26" t="s">
        <v>35</v>
      </c>
      <c r="J7" s="26"/>
      <c r="K7" s="27" t="s">
        <v>170</v>
      </c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1" t="s">
        <v>129</v>
      </c>
      <c r="H11" s="20" t="s">
        <v>116</v>
      </c>
      <c r="I11" s="20" t="s">
        <v>116</v>
      </c>
      <c r="J11" s="21" t="s">
        <v>129</v>
      </c>
      <c r="K11" s="23" t="s">
        <v>131</v>
      </c>
      <c r="L11" s="20" t="s">
        <v>116</v>
      </c>
      <c r="M11" s="20" t="s">
        <v>116</v>
      </c>
      <c r="N11" s="22"/>
      <c r="T11" s="3"/>
    </row>
    <row r="12" spans="2:20" ht="30" x14ac:dyDescent="0.25">
      <c r="B12" s="7" t="s">
        <v>0</v>
      </c>
      <c r="C12" s="8" t="s">
        <v>17</v>
      </c>
      <c r="D12" s="18">
        <v>4</v>
      </c>
      <c r="E12" s="18">
        <v>4</v>
      </c>
      <c r="F12" s="18">
        <v>4</v>
      </c>
      <c r="G12" s="18">
        <v>4</v>
      </c>
      <c r="H12" s="18">
        <v>4</v>
      </c>
      <c r="I12" s="18">
        <v>4</v>
      </c>
      <c r="J12" s="18">
        <v>3</v>
      </c>
      <c r="K12" s="18">
        <v>0</v>
      </c>
      <c r="L12" s="18">
        <v>4</v>
      </c>
      <c r="M12" s="18">
        <v>4</v>
      </c>
      <c r="N12" s="1">
        <f t="shared" ref="N12:N24" si="0">IFERROR(AVERAGEIFS(D12:M12,D12:M12,"&gt;0"),"")</f>
        <v>3.8888888888888888</v>
      </c>
      <c r="T12" s="3"/>
    </row>
    <row r="13" spans="2:20" ht="30" x14ac:dyDescent="0.25">
      <c r="B13" s="7" t="s">
        <v>1</v>
      </c>
      <c r="C13" s="8" t="s">
        <v>18</v>
      </c>
      <c r="D13" s="18">
        <v>4</v>
      </c>
      <c r="E13" s="18">
        <v>4</v>
      </c>
      <c r="F13" s="18">
        <v>3</v>
      </c>
      <c r="G13" s="18">
        <v>3</v>
      </c>
      <c r="H13" s="18">
        <v>4</v>
      </c>
      <c r="I13" s="18">
        <v>4</v>
      </c>
      <c r="J13" s="18">
        <v>3</v>
      </c>
      <c r="K13" s="18">
        <v>0</v>
      </c>
      <c r="L13" s="18">
        <v>4</v>
      </c>
      <c r="M13" s="18">
        <v>4</v>
      </c>
      <c r="N13" s="1">
        <f t="shared" si="0"/>
        <v>3.6666666666666665</v>
      </c>
      <c r="T13" s="3"/>
    </row>
    <row r="14" spans="2:20" ht="30" x14ac:dyDescent="0.25">
      <c r="B14" s="7" t="s">
        <v>2</v>
      </c>
      <c r="C14" s="8" t="s">
        <v>19</v>
      </c>
      <c r="D14" s="1">
        <v>4</v>
      </c>
      <c r="E14" s="1">
        <v>4</v>
      </c>
      <c r="F14" s="1">
        <v>4</v>
      </c>
      <c r="G14" s="1">
        <v>4</v>
      </c>
      <c r="H14" s="1">
        <v>4</v>
      </c>
      <c r="I14" s="1">
        <v>4</v>
      </c>
      <c r="J14" s="1">
        <v>4</v>
      </c>
      <c r="K14" s="1">
        <v>0</v>
      </c>
      <c r="L14" s="1">
        <v>4</v>
      </c>
      <c r="M14" s="1">
        <v>4</v>
      </c>
      <c r="N14" s="1">
        <f t="shared" si="0"/>
        <v>4</v>
      </c>
      <c r="T14" s="3"/>
    </row>
    <row r="15" spans="2:20" ht="30" x14ac:dyDescent="0.25">
      <c r="B15" s="7" t="s">
        <v>4</v>
      </c>
      <c r="C15" s="8" t="s">
        <v>20</v>
      </c>
      <c r="D15" s="1">
        <v>4</v>
      </c>
      <c r="E15" s="1">
        <v>3</v>
      </c>
      <c r="F15" s="1">
        <v>4</v>
      </c>
      <c r="G15" s="1">
        <v>3</v>
      </c>
      <c r="H15" s="1">
        <v>4</v>
      </c>
      <c r="I15" s="1">
        <v>4</v>
      </c>
      <c r="J15" s="1">
        <v>3</v>
      </c>
      <c r="K15" s="1">
        <v>0</v>
      </c>
      <c r="L15" s="1">
        <v>4</v>
      </c>
      <c r="M15" s="1">
        <v>4</v>
      </c>
      <c r="N15" s="1">
        <f t="shared" si="0"/>
        <v>3.6666666666666665</v>
      </c>
      <c r="T15" s="3"/>
    </row>
    <row r="16" spans="2:20" ht="30" x14ac:dyDescent="0.25">
      <c r="B16" s="7" t="s">
        <v>3</v>
      </c>
      <c r="C16" s="8" t="s">
        <v>21</v>
      </c>
      <c r="D16" s="1">
        <v>4</v>
      </c>
      <c r="E16" s="1">
        <v>3</v>
      </c>
      <c r="F16" s="1">
        <v>3</v>
      </c>
      <c r="G16" s="1">
        <v>3</v>
      </c>
      <c r="H16" s="1">
        <v>4</v>
      </c>
      <c r="I16" s="1">
        <v>4</v>
      </c>
      <c r="J16" s="1">
        <v>3</v>
      </c>
      <c r="K16" s="1">
        <v>0</v>
      </c>
      <c r="L16" s="1">
        <v>4</v>
      </c>
      <c r="M16" s="1">
        <v>3</v>
      </c>
      <c r="N16" s="1">
        <f t="shared" si="0"/>
        <v>3.4444444444444446</v>
      </c>
      <c r="T16" s="3"/>
    </row>
    <row r="17" spans="2:20" ht="45" x14ac:dyDescent="0.25">
      <c r="B17" s="7" t="s">
        <v>5</v>
      </c>
      <c r="C17" s="8" t="s">
        <v>22</v>
      </c>
      <c r="D17" s="1">
        <v>4</v>
      </c>
      <c r="E17" s="1">
        <v>3</v>
      </c>
      <c r="F17" s="1">
        <v>4</v>
      </c>
      <c r="G17" s="1">
        <v>2</v>
      </c>
      <c r="H17" s="1">
        <v>2</v>
      </c>
      <c r="I17" s="1">
        <v>4</v>
      </c>
      <c r="J17" s="1">
        <v>2</v>
      </c>
      <c r="K17" s="1">
        <v>0</v>
      </c>
      <c r="L17" s="1">
        <v>4</v>
      </c>
      <c r="M17" s="1">
        <v>3</v>
      </c>
      <c r="N17" s="1">
        <f t="shared" si="0"/>
        <v>3.1111111111111112</v>
      </c>
      <c r="T17" s="3"/>
    </row>
    <row r="18" spans="2:20" x14ac:dyDescent="0.25">
      <c r="B18" s="7" t="s">
        <v>6</v>
      </c>
      <c r="C18" s="8" t="s">
        <v>23</v>
      </c>
      <c r="D18" s="1">
        <v>4</v>
      </c>
      <c r="E18" s="1">
        <v>4</v>
      </c>
      <c r="F18" s="1">
        <v>4</v>
      </c>
      <c r="G18" s="1">
        <v>4</v>
      </c>
      <c r="H18" s="1">
        <v>4</v>
      </c>
      <c r="I18" s="1">
        <v>4</v>
      </c>
      <c r="J18" s="1">
        <v>4</v>
      </c>
      <c r="K18" s="1">
        <v>0</v>
      </c>
      <c r="L18" s="1">
        <v>4</v>
      </c>
      <c r="M18" s="1">
        <v>4</v>
      </c>
      <c r="N18" s="1">
        <f t="shared" si="0"/>
        <v>4</v>
      </c>
      <c r="T18" s="3"/>
    </row>
    <row r="19" spans="2:20" ht="30" x14ac:dyDescent="0.25">
      <c r="B19" s="7" t="s">
        <v>7</v>
      </c>
      <c r="C19" s="8" t="s">
        <v>24</v>
      </c>
      <c r="D19" s="18">
        <v>3</v>
      </c>
      <c r="E19" s="18">
        <v>3</v>
      </c>
      <c r="F19" s="18">
        <v>3</v>
      </c>
      <c r="G19" s="18">
        <v>3</v>
      </c>
      <c r="H19" s="18">
        <v>2</v>
      </c>
      <c r="I19" s="18">
        <v>4</v>
      </c>
      <c r="J19" s="18">
        <v>2</v>
      </c>
      <c r="K19" s="18">
        <v>0</v>
      </c>
      <c r="L19" s="18">
        <v>4</v>
      </c>
      <c r="M19" s="18">
        <v>3</v>
      </c>
      <c r="N19" s="1">
        <f t="shared" si="0"/>
        <v>3</v>
      </c>
      <c r="T19" s="3"/>
    </row>
    <row r="20" spans="2:20" x14ac:dyDescent="0.25">
      <c r="B20" s="7" t="s">
        <v>8</v>
      </c>
      <c r="C20" s="8" t="s">
        <v>25</v>
      </c>
      <c r="D20" s="18">
        <v>4</v>
      </c>
      <c r="E20" s="18">
        <v>4</v>
      </c>
      <c r="F20" s="18">
        <v>4</v>
      </c>
      <c r="G20" s="18">
        <v>3</v>
      </c>
      <c r="H20" s="18">
        <v>4</v>
      </c>
      <c r="I20" s="18">
        <v>4</v>
      </c>
      <c r="J20" s="18">
        <v>4</v>
      </c>
      <c r="K20" s="18">
        <v>0</v>
      </c>
      <c r="L20" s="18">
        <v>4</v>
      </c>
      <c r="M20" s="18">
        <v>4</v>
      </c>
      <c r="N20" s="1">
        <f t="shared" si="0"/>
        <v>3.8888888888888888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>
        <v>4</v>
      </c>
      <c r="I21" s="18">
        <v>4</v>
      </c>
      <c r="J21" s="18">
        <v>4</v>
      </c>
      <c r="K21" s="18">
        <v>0</v>
      </c>
      <c r="L21" s="18">
        <v>4</v>
      </c>
      <c r="M21" s="18">
        <v>4</v>
      </c>
      <c r="N21" s="1">
        <f t="shared" si="0"/>
        <v>4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18">
        <v>4</v>
      </c>
      <c r="E23" s="18">
        <v>4</v>
      </c>
      <c r="F23" s="18">
        <v>4</v>
      </c>
      <c r="G23" s="18">
        <v>4</v>
      </c>
      <c r="H23" s="18">
        <v>4</v>
      </c>
      <c r="I23" s="18">
        <v>4</v>
      </c>
      <c r="J23" s="18">
        <v>4</v>
      </c>
      <c r="K23" s="18">
        <v>0</v>
      </c>
      <c r="L23" s="18">
        <v>4</v>
      </c>
      <c r="M23" s="18">
        <v>4</v>
      </c>
      <c r="N23" s="1">
        <f t="shared" si="0"/>
        <v>4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46</v>
      </c>
      <c r="E25" s="1">
        <f>SUM(E12:E23)</f>
        <v>43</v>
      </c>
      <c r="F25" s="1">
        <f t="shared" ref="F25:N25" si="1">SUM(F12:F23)</f>
        <v>44</v>
      </c>
      <c r="G25" s="1">
        <f t="shared" si="1"/>
        <v>40</v>
      </c>
      <c r="H25" s="1">
        <f t="shared" si="1"/>
        <v>43</v>
      </c>
      <c r="I25" s="1">
        <f t="shared" si="1"/>
        <v>47</v>
      </c>
      <c r="J25" s="1">
        <f t="shared" si="1"/>
        <v>39</v>
      </c>
      <c r="K25" s="1">
        <f t="shared" si="1"/>
        <v>0</v>
      </c>
      <c r="L25" s="1">
        <f t="shared" si="1"/>
        <v>47</v>
      </c>
      <c r="M25" s="1">
        <f t="shared" si="1"/>
        <v>44</v>
      </c>
      <c r="N25" s="16">
        <f t="shared" si="1"/>
        <v>43.666666666666664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B</v>
      </c>
      <c r="F26" s="1" t="str" cm="1">
        <f t="array" ref="F26">_xlfn.IFS(F25/48&gt;=0.9,"A",F25/48&gt;=0.8,"B",F25/48&gt;=0.7,"C",F25/48&gt;=0.6,"D",TRUE,"F")</f>
        <v>A</v>
      </c>
      <c r="G26" s="1" t="str" cm="1">
        <f t="array" ref="G26">_xlfn.IFS(G25/48&gt;=0.9,"A",G25/48&gt;=0.8,"B",G25/48&gt;=0.7,"C",G25/48&gt;=0.6,"D",TRUE,"F")</f>
        <v>B</v>
      </c>
      <c r="H26" s="1" t="str" cm="1">
        <f t="array" ref="H26">_xlfn.IFS(H25/48&gt;=0.9,"A",H25/48&gt;=0.8,"B",H25/48&gt;=0.7,"C",H25/48&gt;=0.6,"D",TRUE,"F")</f>
        <v>B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B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A</v>
      </c>
      <c r="N26" s="16" t="str" cm="1">
        <f t="array" ref="N26">_xlfn.IFS(N25/48&gt;=0.9,"A",N25/48&gt;=0.8,"B",N25/48&gt;=0.7,"C",N25/48&gt;=0.6,"D",TRUE,"F")</f>
        <v>A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60E96-D054-4BCE-9D91-408ACA709390}">
  <sheetPr codeName="Sheet18"/>
  <dimension ref="B2:T26"/>
  <sheetViews>
    <sheetView topLeftCell="A3" zoomScale="85" zoomScaleNormal="85" workbookViewId="0">
      <selection activeCell="J11" sqref="J11"/>
    </sheetView>
  </sheetViews>
  <sheetFormatPr defaultRowHeight="15" x14ac:dyDescent="0.25"/>
  <cols>
    <col min="1" max="1" width="5" customWidth="1"/>
    <col min="2" max="2" width="9.140625" style="2"/>
    <col min="3" max="3" width="19.140625" style="3" customWidth="1"/>
    <col min="4" max="14" width="9.140625" style="1"/>
    <col min="15" max="15" width="4.85546875" customWidth="1"/>
  </cols>
  <sheetData>
    <row r="2" spans="2:20" ht="26.25" x14ac:dyDescent="0.25">
      <c r="C2" s="3" t="s">
        <v>29</v>
      </c>
      <c r="D2" s="29" t="s">
        <v>17</v>
      </c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20" ht="15" customHeight="1" x14ac:dyDescent="0.25"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20" x14ac:dyDescent="0.25">
      <c r="C4" s="3" t="s">
        <v>30</v>
      </c>
      <c r="D4" s="30">
        <v>8</v>
      </c>
      <c r="E4" s="30"/>
      <c r="F4" s="30"/>
      <c r="I4" s="26" t="s">
        <v>39</v>
      </c>
      <c r="J4" s="26"/>
      <c r="K4" s="30">
        <v>3</v>
      </c>
      <c r="L4" s="30"/>
      <c r="M4" s="30"/>
    </row>
    <row r="5" spans="2:20" ht="18.75" x14ac:dyDescent="0.25">
      <c r="C5" s="3" t="s">
        <v>31</v>
      </c>
      <c r="D5" s="31" t="s">
        <v>40</v>
      </c>
      <c r="E5" s="31"/>
      <c r="F5" s="31"/>
      <c r="G5" s="31"/>
      <c r="H5" s="31"/>
      <c r="I5" s="31"/>
      <c r="J5" s="31"/>
      <c r="K5" s="31"/>
      <c r="L5" s="31"/>
      <c r="M5" s="31"/>
    </row>
    <row r="6" spans="2:20" x14ac:dyDescent="0.25">
      <c r="C6" s="3" t="s">
        <v>32</v>
      </c>
      <c r="D6" s="26" t="s">
        <v>174</v>
      </c>
      <c r="E6" s="26"/>
      <c r="F6" s="26"/>
      <c r="I6" s="26" t="s">
        <v>33</v>
      </c>
      <c r="J6" s="26"/>
      <c r="K6" s="32" t="s">
        <v>173</v>
      </c>
      <c r="L6" s="32"/>
      <c r="M6" s="32"/>
    </row>
    <row r="7" spans="2:20" x14ac:dyDescent="0.25">
      <c r="C7" s="3" t="s">
        <v>34</v>
      </c>
      <c r="D7" s="25" t="s">
        <v>172</v>
      </c>
      <c r="E7" s="25"/>
      <c r="F7" s="25"/>
      <c r="I7" s="26" t="s">
        <v>35</v>
      </c>
      <c r="J7" s="26"/>
      <c r="K7" s="27" t="s">
        <v>170</v>
      </c>
      <c r="L7" s="27"/>
      <c r="M7" s="27"/>
    </row>
    <row r="9" spans="2:20" x14ac:dyDescent="0.25">
      <c r="D9" s="28" t="s">
        <v>14</v>
      </c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2:20" x14ac:dyDescent="0.25">
      <c r="D10" s="1" t="s">
        <v>118</v>
      </c>
      <c r="E10" s="1" t="s">
        <v>125</v>
      </c>
      <c r="F10" s="1" t="s">
        <v>119</v>
      </c>
      <c r="G10" s="1" t="s">
        <v>120</v>
      </c>
      <c r="H10" s="1" t="s">
        <v>128</v>
      </c>
      <c r="I10" s="1" t="s">
        <v>126</v>
      </c>
      <c r="J10" s="1" t="s">
        <v>117</v>
      </c>
      <c r="K10" s="1" t="s">
        <v>124</v>
      </c>
      <c r="L10" s="1" t="s">
        <v>121</v>
      </c>
      <c r="M10" s="1" t="s">
        <v>122</v>
      </c>
      <c r="N10" s="1" t="s">
        <v>13</v>
      </c>
    </row>
    <row r="11" spans="2:20" x14ac:dyDescent="0.25">
      <c r="C11" s="19" t="s">
        <v>115</v>
      </c>
      <c r="D11" s="20" t="s">
        <v>116</v>
      </c>
      <c r="E11" s="20" t="s">
        <v>116</v>
      </c>
      <c r="F11" s="20" t="s">
        <v>116</v>
      </c>
      <c r="G11" s="20" t="s">
        <v>116</v>
      </c>
      <c r="H11" s="20" t="s">
        <v>116</v>
      </c>
      <c r="I11" s="20" t="s">
        <v>116</v>
      </c>
      <c r="J11" s="21" t="s">
        <v>129</v>
      </c>
      <c r="K11" s="23" t="s">
        <v>131</v>
      </c>
      <c r="L11" s="20" t="s">
        <v>116</v>
      </c>
      <c r="M11" s="20" t="s">
        <v>116</v>
      </c>
      <c r="N11" s="22"/>
      <c r="T11" s="3"/>
    </row>
    <row r="12" spans="2:20" ht="30" x14ac:dyDescent="0.25">
      <c r="B12" s="7" t="s">
        <v>0</v>
      </c>
      <c r="C12" s="8" t="s">
        <v>17</v>
      </c>
      <c r="D12" s="4">
        <v>3</v>
      </c>
      <c r="E12" s="4">
        <v>4</v>
      </c>
      <c r="F12" s="4">
        <v>4</v>
      </c>
      <c r="G12" s="4">
        <v>4</v>
      </c>
      <c r="H12" s="4">
        <v>4</v>
      </c>
      <c r="I12" s="4">
        <v>4</v>
      </c>
      <c r="J12" s="4">
        <v>3</v>
      </c>
      <c r="K12" s="4">
        <v>0</v>
      </c>
      <c r="L12" s="4">
        <v>4</v>
      </c>
      <c r="M12" s="4">
        <v>4</v>
      </c>
      <c r="N12" s="1">
        <f t="shared" ref="N12:N24" si="0">IFERROR(AVERAGEIFS(D12:M12,D12:M12,"&gt;0"),"")</f>
        <v>3.7777777777777777</v>
      </c>
      <c r="T12" s="3"/>
    </row>
    <row r="13" spans="2:20" ht="30" x14ac:dyDescent="0.25">
      <c r="B13" s="7" t="s">
        <v>1</v>
      </c>
      <c r="C13" s="8" t="s">
        <v>18</v>
      </c>
      <c r="D13" s="4">
        <v>4</v>
      </c>
      <c r="E13" s="4">
        <v>4</v>
      </c>
      <c r="F13" s="4">
        <v>4</v>
      </c>
      <c r="G13" s="4">
        <v>4</v>
      </c>
      <c r="H13" s="4">
        <v>4</v>
      </c>
      <c r="I13" s="4">
        <v>4</v>
      </c>
      <c r="J13" s="4">
        <v>3</v>
      </c>
      <c r="K13" s="4">
        <v>0</v>
      </c>
      <c r="L13" s="4">
        <v>4</v>
      </c>
      <c r="M13" s="4">
        <v>4</v>
      </c>
      <c r="N13" s="1">
        <f t="shared" si="0"/>
        <v>3.8888888888888888</v>
      </c>
      <c r="T13" s="3"/>
    </row>
    <row r="14" spans="2:20" ht="30" x14ac:dyDescent="0.25">
      <c r="B14" s="7" t="s">
        <v>2</v>
      </c>
      <c r="C14" s="8" t="s">
        <v>19</v>
      </c>
      <c r="D14" s="18">
        <v>4</v>
      </c>
      <c r="E14" s="18">
        <v>4</v>
      </c>
      <c r="F14" s="18">
        <v>4</v>
      </c>
      <c r="G14" s="18">
        <v>3</v>
      </c>
      <c r="H14" s="18">
        <v>4</v>
      </c>
      <c r="I14" s="18">
        <v>4</v>
      </c>
      <c r="J14" s="18"/>
      <c r="K14" s="18">
        <v>0</v>
      </c>
      <c r="L14" s="18">
        <v>4</v>
      </c>
      <c r="M14" s="18">
        <v>4</v>
      </c>
      <c r="N14" s="1">
        <f t="shared" si="0"/>
        <v>3.875</v>
      </c>
      <c r="T14" s="3"/>
    </row>
    <row r="15" spans="2:20" ht="30" x14ac:dyDescent="0.25">
      <c r="B15" s="7" t="s">
        <v>4</v>
      </c>
      <c r="C15" s="8" t="s">
        <v>20</v>
      </c>
      <c r="D15" s="4">
        <v>4</v>
      </c>
      <c r="E15" s="4">
        <v>3</v>
      </c>
      <c r="F15" s="4">
        <v>4</v>
      </c>
      <c r="G15" s="4">
        <v>3</v>
      </c>
      <c r="H15" s="4">
        <v>4</v>
      </c>
      <c r="I15" s="4">
        <v>4</v>
      </c>
      <c r="J15" s="4">
        <v>3</v>
      </c>
      <c r="K15" s="4">
        <v>0</v>
      </c>
      <c r="L15" s="4">
        <v>4</v>
      </c>
      <c r="M15" s="4">
        <v>4</v>
      </c>
      <c r="N15" s="1">
        <f t="shared" si="0"/>
        <v>3.6666666666666665</v>
      </c>
      <c r="T15" s="3"/>
    </row>
    <row r="16" spans="2:20" ht="30" x14ac:dyDescent="0.25">
      <c r="B16" s="7" t="s">
        <v>3</v>
      </c>
      <c r="C16" s="8" t="s">
        <v>21</v>
      </c>
      <c r="D16" s="18">
        <v>3</v>
      </c>
      <c r="E16" s="18">
        <v>4</v>
      </c>
      <c r="F16" s="18">
        <v>3</v>
      </c>
      <c r="G16" s="18">
        <v>4</v>
      </c>
      <c r="H16" s="18">
        <v>4</v>
      </c>
      <c r="I16" s="18">
        <v>4</v>
      </c>
      <c r="J16" s="18"/>
      <c r="K16" s="18">
        <v>0</v>
      </c>
      <c r="L16" s="18">
        <v>4</v>
      </c>
      <c r="M16" s="18">
        <v>3</v>
      </c>
      <c r="N16" s="1">
        <f t="shared" si="0"/>
        <v>3.625</v>
      </c>
      <c r="T16" s="3"/>
    </row>
    <row r="17" spans="2:20" ht="45" x14ac:dyDescent="0.25">
      <c r="B17" s="7" t="s">
        <v>5</v>
      </c>
      <c r="C17" s="8" t="s">
        <v>22</v>
      </c>
      <c r="D17" s="1">
        <v>4</v>
      </c>
      <c r="E17" s="1">
        <v>3</v>
      </c>
      <c r="F17" s="1">
        <v>4</v>
      </c>
      <c r="G17" s="1">
        <v>3</v>
      </c>
      <c r="H17" s="1">
        <v>3</v>
      </c>
      <c r="I17" s="1">
        <v>4</v>
      </c>
      <c r="K17" s="1">
        <v>0</v>
      </c>
      <c r="L17" s="1">
        <v>4</v>
      </c>
      <c r="M17" s="1">
        <v>4</v>
      </c>
      <c r="N17" s="1">
        <f t="shared" si="0"/>
        <v>3.625</v>
      </c>
      <c r="T17" s="3"/>
    </row>
    <row r="18" spans="2:20" x14ac:dyDescent="0.25">
      <c r="B18" s="7" t="s">
        <v>6</v>
      </c>
      <c r="C18" s="8" t="s">
        <v>23</v>
      </c>
      <c r="D18" s="18">
        <v>3</v>
      </c>
      <c r="E18" s="18">
        <v>4</v>
      </c>
      <c r="F18" s="18">
        <v>4</v>
      </c>
      <c r="G18" s="18">
        <v>4</v>
      </c>
      <c r="H18" s="18">
        <v>4</v>
      </c>
      <c r="I18" s="18">
        <v>4</v>
      </c>
      <c r="J18" s="18"/>
      <c r="K18" s="18">
        <v>0</v>
      </c>
      <c r="L18" s="18">
        <v>4</v>
      </c>
      <c r="M18" s="18">
        <v>4</v>
      </c>
      <c r="N18" s="1">
        <f t="shared" si="0"/>
        <v>3.875</v>
      </c>
      <c r="T18" s="3"/>
    </row>
    <row r="19" spans="2:20" ht="30" x14ac:dyDescent="0.25">
      <c r="B19" s="7" t="s">
        <v>7</v>
      </c>
      <c r="C19" s="8" t="s">
        <v>24</v>
      </c>
      <c r="D19" s="1">
        <v>4</v>
      </c>
      <c r="E19" s="1">
        <v>4</v>
      </c>
      <c r="F19" s="1">
        <v>3</v>
      </c>
      <c r="G19" s="1">
        <v>4</v>
      </c>
      <c r="H19" s="1">
        <v>4</v>
      </c>
      <c r="I19" s="1">
        <v>3</v>
      </c>
      <c r="K19" s="1">
        <v>0</v>
      </c>
      <c r="L19" s="1">
        <v>3</v>
      </c>
      <c r="M19" s="1">
        <v>4</v>
      </c>
      <c r="N19" s="1">
        <f t="shared" si="0"/>
        <v>3.625</v>
      </c>
      <c r="T19" s="3"/>
    </row>
    <row r="20" spans="2:20" x14ac:dyDescent="0.25">
      <c r="B20" s="7" t="s">
        <v>8</v>
      </c>
      <c r="C20" s="8" t="s">
        <v>25</v>
      </c>
      <c r="D20" s="18">
        <v>4</v>
      </c>
      <c r="E20" s="18">
        <v>3</v>
      </c>
      <c r="F20" s="18">
        <v>3</v>
      </c>
      <c r="G20" s="18">
        <v>4</v>
      </c>
      <c r="H20" s="18">
        <v>4</v>
      </c>
      <c r="I20" s="18">
        <v>4</v>
      </c>
      <c r="J20" s="18"/>
      <c r="K20" s="18">
        <v>0</v>
      </c>
      <c r="L20" s="18">
        <v>4</v>
      </c>
      <c r="M20" s="18">
        <v>4</v>
      </c>
      <c r="N20" s="1">
        <f t="shared" si="0"/>
        <v>3.75</v>
      </c>
      <c r="T20" s="3"/>
    </row>
    <row r="21" spans="2:20" x14ac:dyDescent="0.25">
      <c r="B21" s="7" t="s">
        <v>9</v>
      </c>
      <c r="C21" s="8" t="s">
        <v>26</v>
      </c>
      <c r="D21" s="18">
        <v>4</v>
      </c>
      <c r="E21" s="18">
        <v>4</v>
      </c>
      <c r="F21" s="18">
        <v>4</v>
      </c>
      <c r="G21" s="18">
        <v>4</v>
      </c>
      <c r="H21" s="18">
        <v>4</v>
      </c>
      <c r="I21" s="18">
        <v>4</v>
      </c>
      <c r="J21" s="18"/>
      <c r="K21" s="18">
        <v>0</v>
      </c>
      <c r="L21" s="18">
        <v>4</v>
      </c>
      <c r="M21" s="18">
        <v>4</v>
      </c>
      <c r="N21" s="1">
        <f t="shared" si="0"/>
        <v>4</v>
      </c>
      <c r="T21" s="3"/>
    </row>
    <row r="22" spans="2:20" x14ac:dyDescent="0.25">
      <c r="B22" s="7" t="s">
        <v>10</v>
      </c>
      <c r="C22" s="8" t="s">
        <v>27</v>
      </c>
      <c r="D22" s="4">
        <v>3</v>
      </c>
      <c r="E22" s="4">
        <v>3</v>
      </c>
      <c r="F22" s="4">
        <v>3</v>
      </c>
      <c r="G22" s="4">
        <v>3</v>
      </c>
      <c r="H22" s="4">
        <v>3</v>
      </c>
      <c r="I22" s="4">
        <v>3</v>
      </c>
      <c r="J22" s="4">
        <v>3</v>
      </c>
      <c r="K22" s="4">
        <v>0</v>
      </c>
      <c r="L22" s="4">
        <v>3</v>
      </c>
      <c r="M22" s="4">
        <v>3</v>
      </c>
      <c r="N22" s="1">
        <f t="shared" si="0"/>
        <v>3</v>
      </c>
    </row>
    <row r="23" spans="2:20" x14ac:dyDescent="0.25">
      <c r="B23" s="7" t="s">
        <v>11</v>
      </c>
      <c r="C23" s="8" t="s">
        <v>28</v>
      </c>
      <c r="D23" s="1">
        <v>4</v>
      </c>
      <c r="E23" s="1">
        <v>4</v>
      </c>
      <c r="F23" s="1">
        <v>4</v>
      </c>
      <c r="G23" s="1">
        <v>4</v>
      </c>
      <c r="H23" s="1">
        <v>3</v>
      </c>
      <c r="I23" s="1">
        <v>4</v>
      </c>
      <c r="K23" s="1">
        <v>0</v>
      </c>
      <c r="L23" s="1">
        <v>4</v>
      </c>
      <c r="M23" s="1">
        <v>4</v>
      </c>
      <c r="N23" s="1">
        <f t="shared" si="0"/>
        <v>3.875</v>
      </c>
    </row>
    <row r="24" spans="2:20" x14ac:dyDescent="0.25">
      <c r="N24" s="1" t="str">
        <f t="shared" si="0"/>
        <v/>
      </c>
    </row>
    <row r="25" spans="2:20" x14ac:dyDescent="0.25">
      <c r="B25" s="1" t="s">
        <v>12</v>
      </c>
      <c r="D25" s="1">
        <f>SUM(D12:D23)</f>
        <v>44</v>
      </c>
      <c r="E25" s="1">
        <f>SUM(E12:E23)</f>
        <v>44</v>
      </c>
      <c r="F25" s="1">
        <f t="shared" ref="F25:N25" si="1">SUM(F12:F23)</f>
        <v>44</v>
      </c>
      <c r="G25" s="1">
        <f t="shared" si="1"/>
        <v>44</v>
      </c>
      <c r="H25" s="1">
        <f t="shared" si="1"/>
        <v>45</v>
      </c>
      <c r="I25" s="1">
        <f t="shared" si="1"/>
        <v>46</v>
      </c>
      <c r="J25" s="1">
        <f t="shared" si="1"/>
        <v>12</v>
      </c>
      <c r="K25" s="1">
        <f t="shared" si="1"/>
        <v>0</v>
      </c>
      <c r="L25" s="1">
        <f t="shared" si="1"/>
        <v>46</v>
      </c>
      <c r="M25" s="1">
        <f t="shared" si="1"/>
        <v>46</v>
      </c>
      <c r="N25" s="16">
        <f t="shared" si="1"/>
        <v>44.583333333333329</v>
      </c>
    </row>
    <row r="26" spans="2:20" x14ac:dyDescent="0.25">
      <c r="B26" s="1" t="s">
        <v>16</v>
      </c>
      <c r="D26" s="1" t="str" cm="1">
        <f t="array" ref="D26">_xlfn.IFS(D25/48&gt;=0.9,"A",D25/48&gt;=0.8,"B",D25/48&gt;=0.7,"C",D25/48&gt;=0.6,"D",TRUE,"F")</f>
        <v>A</v>
      </c>
      <c r="E26" s="1" t="str" cm="1">
        <f t="array" ref="E26">_xlfn.IFS(E25/48&gt;=0.9,"A",E25/48&gt;=0.8,"B",E25/48&gt;=0.7,"C",E25/48&gt;=0.6,"D",TRUE,"F")</f>
        <v>A</v>
      </c>
      <c r="F26" s="1" t="str" cm="1">
        <f t="array" ref="F26">_xlfn.IFS(F25/48&gt;=0.9,"A",F25/48&gt;=0.8,"B",F25/48&gt;=0.7,"C",F25/48&gt;=0.6,"D",TRUE,"F")</f>
        <v>A</v>
      </c>
      <c r="G26" s="1" t="str" cm="1">
        <f t="array" ref="G26">_xlfn.IFS(G25/48&gt;=0.9,"A",G25/48&gt;=0.8,"B",G25/48&gt;=0.7,"C",G25/48&gt;=0.6,"D",TRUE,"F")</f>
        <v>A</v>
      </c>
      <c r="H26" s="1" t="str" cm="1">
        <f t="array" ref="H26">_xlfn.IFS(H25/48&gt;=0.9,"A",H25/48&gt;=0.8,"B",H25/48&gt;=0.7,"C",H25/48&gt;=0.6,"D",TRUE,"F")</f>
        <v>A</v>
      </c>
      <c r="I26" s="1" t="str" cm="1">
        <f t="array" ref="I26">_xlfn.IFS(I25/48&gt;=0.9,"A",I25/48&gt;=0.8,"B",I25/48&gt;=0.7,"C",I25/48&gt;=0.6,"D",TRUE,"F")</f>
        <v>A</v>
      </c>
      <c r="J26" s="1" t="str" cm="1">
        <f t="array" ref="J26">_xlfn.IFS(J25/48&gt;=0.9,"A",J25/48&gt;=0.8,"B",J25/48&gt;=0.7,"C",J25/48&gt;=0.6,"D",TRUE,"F")</f>
        <v>F</v>
      </c>
      <c r="K26" s="1" t="str" cm="1">
        <f t="array" ref="K26">_xlfn.IFS(K25/48&gt;=0.9,"A",K25/48&gt;=0.8,"B",K25/48&gt;=0.7,"C",K25/48&gt;=0.6,"D",TRUE,"F")</f>
        <v>F</v>
      </c>
      <c r="L26" s="1" t="str" cm="1">
        <f t="array" ref="L26">_xlfn.IFS(L25/48&gt;=0.9,"A",L25/48&gt;=0.8,"B",L25/48&gt;=0.7,"C",L25/48&gt;=0.6,"D",TRUE,"F")</f>
        <v>A</v>
      </c>
      <c r="M26" s="1" t="str" cm="1">
        <f t="array" ref="M26">_xlfn.IFS(M25/48&gt;=0.9,"A",M25/48&gt;=0.8,"B",M25/48&gt;=0.7,"C",M25/48&gt;=0.6,"D",TRUE,"F")</f>
        <v>A</v>
      </c>
      <c r="N26" s="16" t="str" cm="1">
        <f t="array" ref="N26">_xlfn.IFS(N25/48&gt;=0.9,"A",N25/48&gt;=0.8,"B",N25/48&gt;=0.7,"C",N25/48&gt;=0.6,"D",TRUE,"F")</f>
        <v>A</v>
      </c>
    </row>
  </sheetData>
  <mergeCells count="12">
    <mergeCell ref="D7:F7"/>
    <mergeCell ref="I7:J7"/>
    <mergeCell ref="K7:M7"/>
    <mergeCell ref="D9:N9"/>
    <mergeCell ref="D2:N2"/>
    <mergeCell ref="D4:F4"/>
    <mergeCell ref="I4:J4"/>
    <mergeCell ref="K4:M4"/>
    <mergeCell ref="D5:M5"/>
    <mergeCell ref="D6:F6"/>
    <mergeCell ref="I6:J6"/>
    <mergeCell ref="K6:M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Rubric</vt:lpstr>
      <vt:lpstr>Template</vt:lpstr>
      <vt:lpstr>A1 (1)</vt:lpstr>
      <vt:lpstr>A2 (2-M)</vt:lpstr>
      <vt:lpstr>A3 (2-T)</vt:lpstr>
      <vt:lpstr>A4 (3-M)</vt:lpstr>
      <vt:lpstr>A5 (3-T)</vt:lpstr>
      <vt:lpstr>A6 (4-M)</vt:lpstr>
      <vt:lpstr>A7 (4-T)</vt:lpstr>
      <vt:lpstr>A8 (5-M)</vt:lpstr>
      <vt:lpstr>A9 (5-T)</vt:lpstr>
      <vt:lpstr>A10 (5-Th)</vt:lpstr>
      <vt:lpstr>A11 (6-M)</vt:lpstr>
      <vt:lpstr>A12 (6-Th)</vt:lpstr>
      <vt:lpstr>A13 (7-M)</vt:lpstr>
      <vt:lpstr>A14 (7-T)</vt:lpstr>
      <vt:lpstr>Cap Buld (8-T)</vt:lpstr>
      <vt:lpstr>Cap Pres (8-Th)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 Myers</dc:creator>
  <cp:lastModifiedBy>Cash Myers</cp:lastModifiedBy>
  <dcterms:created xsi:type="dcterms:W3CDTF">2026-08-21T21:01:33Z</dcterms:created>
  <dcterms:modified xsi:type="dcterms:W3CDTF">2026-10-11T14:38:39Z</dcterms:modified>
</cp:coreProperties>
</file>