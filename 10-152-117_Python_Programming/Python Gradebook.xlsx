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Artifact_Generation\108_AAISE_Details\10-152-117_Python_Programming\"/>
    </mc:Choice>
  </mc:AlternateContent>
  <xr:revisionPtr revIDLastSave="0" documentId="13_ncr:1_{30531AAB-6E78-4DD6-9CD3-DC849D9B342E}" xr6:coauthVersionLast="47" xr6:coauthVersionMax="47" xr10:uidLastSave="{00000000-0000-0000-0000-000000000000}"/>
  <bookViews>
    <workbookView xWindow="-120" yWindow="-120" windowWidth="29040" windowHeight="15720" activeTab="4" xr2:uid="{0CAE7D91-234A-4AC5-A9FA-A7EDDDFE26D9}"/>
  </bookViews>
  <sheets>
    <sheet name="Rubric" sheetId="2" r:id="rId1"/>
    <sheet name="Sheet1" sheetId="1" r:id="rId2"/>
    <sheet name="Assign-1" sheetId="5" r:id="rId3"/>
    <sheet name="Assign-2" sheetId="3" r:id="rId4"/>
    <sheet name="Assign-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4" i="5" l="1"/>
  <c r="M25" i="5" s="1" a="1"/>
  <c r="M25" i="5" s="1"/>
  <c r="L24" i="5"/>
  <c r="L25" i="5" s="1" a="1"/>
  <c r="L25" i="5" s="1"/>
  <c r="K24" i="5"/>
  <c r="K25" i="5" s="1" a="1"/>
  <c r="K25" i="5" s="1"/>
  <c r="J24" i="5"/>
  <c r="J25" i="5" s="1" a="1"/>
  <c r="J25" i="5" s="1"/>
  <c r="I24" i="5"/>
  <c r="I25" i="5" s="1" a="1"/>
  <c r="I25" i="5" s="1"/>
  <c r="H24" i="5"/>
  <c r="H25" i="5" s="1" a="1"/>
  <c r="H25" i="5" s="1"/>
  <c r="G24" i="5"/>
  <c r="G25" i="5" s="1" a="1"/>
  <c r="G25" i="5" s="1"/>
  <c r="F24" i="5"/>
  <c r="F25" i="5" s="1" a="1"/>
  <c r="F25" i="5" s="1"/>
  <c r="E24" i="5"/>
  <c r="E25" i="5" s="1" a="1"/>
  <c r="E25" i="5" s="1"/>
  <c r="D24" i="5"/>
  <c r="D25" i="5" s="1" a="1"/>
  <c r="D25" i="5" s="1"/>
  <c r="N22" i="5"/>
  <c r="N21" i="5"/>
  <c r="N20" i="5"/>
  <c r="N19" i="5"/>
  <c r="N18" i="5"/>
  <c r="N17" i="5"/>
  <c r="N16" i="5"/>
  <c r="N15" i="5"/>
  <c r="N14" i="5"/>
  <c r="N13" i="5"/>
  <c r="N12" i="5"/>
  <c r="N11" i="5"/>
  <c r="L25" i="4" a="1"/>
  <c r="L25" i="4" s="1"/>
  <c r="K25" i="4" a="1"/>
  <c r="K25" i="4" s="1"/>
  <c r="M24" i="4"/>
  <c r="M25" i="4" s="1" a="1"/>
  <c r="M25" i="4" s="1"/>
  <c r="L24" i="4"/>
  <c r="K24" i="4"/>
  <c r="J24" i="4"/>
  <c r="J25" i="4" s="1" a="1"/>
  <c r="J25" i="4" s="1"/>
  <c r="I24" i="4"/>
  <c r="I25" i="4" s="1" a="1"/>
  <c r="I25" i="4" s="1"/>
  <c r="H24" i="4"/>
  <c r="H25" i="4" s="1" a="1"/>
  <c r="H25" i="4" s="1"/>
  <c r="G24" i="4"/>
  <c r="G25" i="4" s="1" a="1"/>
  <c r="G25" i="4" s="1"/>
  <c r="F24" i="4"/>
  <c r="F25" i="4" s="1" a="1"/>
  <c r="F25" i="4" s="1"/>
  <c r="E24" i="4"/>
  <c r="E25" i="4" s="1" a="1"/>
  <c r="E25" i="4" s="1"/>
  <c r="D24" i="4"/>
  <c r="D25" i="4" s="1" a="1"/>
  <c r="D25" i="4" s="1"/>
  <c r="N22" i="4"/>
  <c r="N21" i="4"/>
  <c r="N20" i="4"/>
  <c r="N19" i="4"/>
  <c r="N18" i="4"/>
  <c r="N17" i="4"/>
  <c r="N16" i="4"/>
  <c r="N15" i="4"/>
  <c r="N14" i="4"/>
  <c r="N13" i="4"/>
  <c r="N12" i="4"/>
  <c r="N11" i="4"/>
  <c r="M24" i="3"/>
  <c r="M25" i="3" s="1" a="1"/>
  <c r="M25" i="3" s="1"/>
  <c r="L24" i="3"/>
  <c r="L25" i="3" s="1" a="1"/>
  <c r="L25" i="3" s="1"/>
  <c r="K24" i="3"/>
  <c r="K25" i="3" s="1" a="1"/>
  <c r="K25" i="3" s="1"/>
  <c r="J24" i="3"/>
  <c r="J25" i="3" s="1" a="1"/>
  <c r="J25" i="3" s="1"/>
  <c r="I24" i="3"/>
  <c r="I25" i="3" s="1" a="1"/>
  <c r="I25" i="3" s="1"/>
  <c r="H24" i="3"/>
  <c r="H25" i="3" s="1" a="1"/>
  <c r="H25" i="3" s="1"/>
  <c r="G24" i="3"/>
  <c r="G25" i="3" s="1" a="1"/>
  <c r="G25" i="3" s="1"/>
  <c r="F24" i="3"/>
  <c r="F25" i="3" s="1" a="1"/>
  <c r="F25" i="3" s="1"/>
  <c r="E24" i="3"/>
  <c r="E25" i="3" s="1" a="1"/>
  <c r="E25" i="3" s="1"/>
  <c r="D24" i="3"/>
  <c r="D25" i="3" s="1" a="1"/>
  <c r="D25" i="3" s="1"/>
  <c r="N22" i="3"/>
  <c r="N21" i="3"/>
  <c r="N20" i="3"/>
  <c r="N19" i="3"/>
  <c r="N18" i="3"/>
  <c r="N17" i="3"/>
  <c r="N16" i="3"/>
  <c r="N15" i="3"/>
  <c r="N14" i="3"/>
  <c r="N13" i="3"/>
  <c r="N12" i="3"/>
  <c r="N11" i="3"/>
  <c r="N22" i="1"/>
  <c r="N21" i="1"/>
  <c r="N20" i="1"/>
  <c r="N19" i="1"/>
  <c r="N18" i="1"/>
  <c r="N17" i="1"/>
  <c r="N16" i="1"/>
  <c r="N15" i="1"/>
  <c r="N14" i="1"/>
  <c r="N13" i="1"/>
  <c r="N12" i="1"/>
  <c r="N11" i="1"/>
  <c r="E24" i="1"/>
  <c r="E25" i="1" s="1" a="1"/>
  <c r="E25" i="1" s="1"/>
  <c r="M24" i="1"/>
  <c r="M25" i="1" s="1" a="1"/>
  <c r="M25" i="1" s="1"/>
  <c r="L24" i="1"/>
  <c r="L25" i="1" s="1" a="1"/>
  <c r="L25" i="1" s="1"/>
  <c r="K24" i="1"/>
  <c r="K25" i="1" s="1" a="1"/>
  <c r="K25" i="1" s="1"/>
  <c r="J24" i="1"/>
  <c r="J25" i="1" s="1" a="1"/>
  <c r="J25" i="1" s="1"/>
  <c r="I24" i="1"/>
  <c r="I25" i="1" s="1" a="1"/>
  <c r="I25" i="1" s="1"/>
  <c r="H24" i="1"/>
  <c r="H25" i="1" s="1" a="1"/>
  <c r="H25" i="1" s="1"/>
  <c r="G24" i="1"/>
  <c r="G25" i="1" s="1" a="1"/>
  <c r="G25" i="1" s="1"/>
  <c r="F24" i="1"/>
  <c r="F25" i="1" s="1" a="1"/>
  <c r="F25" i="1" s="1"/>
  <c r="D24" i="1"/>
  <c r="D25" i="1" s="1" a="1"/>
  <c r="D25" i="1" s="1"/>
  <c r="N24" i="4" l="1"/>
  <c r="N25" i="4" s="1" a="1"/>
  <c r="N25" i="4" s="1"/>
  <c r="N24" i="5"/>
  <c r="N25" i="5" s="1" a="1"/>
  <c r="N25" i="5" s="1"/>
  <c r="N24" i="3"/>
  <c r="N25" i="3" s="1" a="1"/>
  <c r="N25" i="3" s="1"/>
  <c r="N24" i="1"/>
  <c r="N25" i="1" s="1" a="1"/>
  <c r="N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<sst xmlns="http://schemas.openxmlformats.org/spreadsheetml/2006/main" count="302" uniqueCount="127">
  <si>
    <t>T1</t>
  </si>
  <si>
    <t>T2</t>
  </si>
  <si>
    <t>T3</t>
  </si>
  <si>
    <t>T5</t>
  </si>
  <si>
    <t>T4</t>
  </si>
  <si>
    <t>T6</t>
  </si>
  <si>
    <t>C1</t>
  </si>
  <si>
    <t>C2</t>
  </si>
  <si>
    <t>C3</t>
  </si>
  <si>
    <t>C4</t>
  </si>
  <si>
    <t>C5</t>
  </si>
  <si>
    <t>C6</t>
  </si>
  <si>
    <t>Stu #2</t>
  </si>
  <si>
    <t>Stu #3</t>
  </si>
  <si>
    <t>Stu #4</t>
  </si>
  <si>
    <t>Total</t>
  </si>
  <si>
    <t>Mean/Avg</t>
  </si>
  <si>
    <t>Stu #6</t>
  </si>
  <si>
    <t>Stu #7</t>
  </si>
  <si>
    <t>Stu #8</t>
  </si>
  <si>
    <t>Stu #9</t>
  </si>
  <si>
    <t>Stu #10</t>
  </si>
  <si>
    <t>Stu #11</t>
  </si>
  <si>
    <t>Students</t>
  </si>
  <si>
    <t>Rubric</t>
  </si>
  <si>
    <t>Grade</t>
  </si>
  <si>
    <t>Python Fundamentals</t>
  </si>
  <si>
    <t>Program Logic and Control Flow</t>
  </si>
  <si>
    <t>Code Organization and Structure</t>
  </si>
  <si>
    <t>Data Handling and Integration</t>
  </si>
  <si>
    <t>Debugging, Testing, and Validation</t>
  </si>
  <si>
    <t>AI/RBA-Assisted Development and Accountability</t>
  </si>
  <si>
    <t>Solve Problems</t>
  </si>
  <si>
    <t>Communicate Clearly</t>
  </si>
  <si>
    <t>Work Productively</t>
  </si>
  <si>
    <t>Value Learning</t>
  </si>
  <si>
    <t>Work Cooperatively</t>
  </si>
  <si>
    <t>Act Professionally</t>
  </si>
  <si>
    <t>Course</t>
  </si>
  <si>
    <t>Week</t>
  </si>
  <si>
    <t>Assignment Name</t>
  </si>
  <si>
    <t>Primary Focus</t>
  </si>
  <si>
    <t>Secondary Focus</t>
  </si>
  <si>
    <t>Light Focus</t>
  </si>
  <si>
    <t>Not Assessed</t>
  </si>
  <si>
    <t>T3, T4, T6</t>
  </si>
  <si>
    <t>C2, C3</t>
  </si>
  <si>
    <t>T2, T5, C1, C4, C5, C6</t>
  </si>
  <si>
    <t>Day</t>
  </si>
  <si>
    <t>First Programs</t>
  </si>
  <si>
    <t>Score</t>
  </si>
  <si>
    <t>4-Execeds</t>
  </si>
  <si>
    <t>3-Meets</t>
  </si>
  <si>
    <t>2-Dev</t>
  </si>
  <si>
    <t>1=N/I</t>
  </si>
  <si>
    <t>Uses Python fundamentals accurately and confidently; code is clear, readable, and mostly free of basic syntax or type issues</t>
  </si>
  <si>
    <t>Uses Python fundamentals correctly with minor issues that do not prevent the program from working</t>
  </si>
  <si>
    <t>Uses some fundamentals correctly, but errors or misunderstandings affect reliability or clarity</t>
  </si>
  <si>
    <t>Struggles with basic syntax, values, variables, or input/output in ways that prevent meaningful completion</t>
  </si>
  <si>
    <t>Logic is clear, correct, and well-sequenced; conditionals and loops behave as intended across expected cases</t>
  </si>
  <si>
    <t>Logic mostly works with minor errors or limited edge-case handling</t>
  </si>
  <si>
    <t>Logic is partially correct but inconsistent, incomplete, or difficult to trace</t>
  </si>
  <si>
    <t>Program logic is missing, broken, or does not match the intended task</t>
  </si>
  <si>
    <t>Code is well organized, readable, and appropriately structured; functions, collections, or simple class-based structures are used or interpreted effectively</t>
  </si>
  <si>
    <t>Code is generally organized and readable with minor structural issues</t>
  </si>
  <si>
    <t>Some organization is present, but code is repetitive, unclear, or inconsistently structured</t>
  </si>
  <si>
    <t>Code is disorganized, difficult to follow, or lacks meaningful structure</t>
  </si>
  <si>
    <t>Handles data accurately and purposefully; uses appropriate structures, file/API patterns, or data representations with clear understanding</t>
  </si>
  <si>
    <t>Handles required data correctly with minor issues or limited refinement</t>
  </si>
  <si>
    <t>Data handling is partially successful but fragile, incomplete, or unclear</t>
  </si>
  <si>
    <t>Data is not stored, retrieved, parsed, or integrated correctly for the task</t>
  </si>
  <si>
    <t>Systematically identifies issues, tests behavior, validates fixes, and clearly explains why the solution works</t>
  </si>
  <si>
    <t>Finds and fixes most issues; uses reasonable checks or tests to confirm behavior</t>
  </si>
  <si>
    <t>Attempts debugging or testing but with limited success, incomplete validation, or unclear reasoning</t>
  </si>
  <si>
    <t>Does not effectively identify, test, or resolve problems</t>
  </si>
  <si>
    <t>Uses AI/RBA methods thoughtfully and transparently; clearly frames intent, evaluates output, adapts or rejects suggestions, and explains human decisions</t>
  </si>
  <si>
    <t>Uses AI appropriately when allowed and can explain the role AI played with minor gaps</t>
  </si>
  <si>
    <t>Uses AI with limited explanation, weak validation, or unclear distinction between AI contribution and student decision-making</t>
  </si>
  <si>
    <t>Relies on AI inappropriately, violates assignment limits, or cannot explain AI-assisted work</t>
  </si>
  <si>
    <t>EVIDENCE</t>
  </si>
  <si>
    <t>syntax, variables, values, expressions, basic types, input/output</t>
  </si>
  <si>
    <t>conditionals, loops, boolean logic, sequencing, control flow</t>
  </si>
  <si>
    <t>functions, parameters, return values, collections, readability, structure choice, class-based recognition</t>
  </si>
  <si>
    <t>lists, dictionaries, files, CSV/JSON, persistence, APIs, structured data, application-architecture recognition</t>
  </si>
  <si>
    <t>error diagnosis, test cases, expected vs actual results, repair process, explanation of fixes</t>
  </si>
  <si>
    <t>bounded AI use, RBA framing, prompt clarity, adaptation of AI output, AI-use justification, human decision-making</t>
  </si>
  <si>
    <t>troubleshooting, persistence, strategy, independent recovery</t>
  </si>
  <si>
    <t>code explanation, project explanation, AI-use justification, presentation, discussion</t>
  </si>
  <si>
    <t>focus, task completion, use of lab time, organization, meeting deadlines</t>
  </si>
  <si>
    <t>resource use, feedback application, curiosity, responsible AI/tool use, willingness to revise</t>
  </si>
  <si>
    <t>peer support, pair/group activity, respectful collaboration, shared responsibility</t>
  </si>
  <si>
    <t>attendance habits, engagement, respectful conduct, presentation quality, readiness</t>
  </si>
  <si>
    <t>ID</t>
  </si>
  <si>
    <t>Consistently identifies, analyzes, and resolves problems independently or with well-targeted support</t>
  </si>
  <si>
    <t>Resolves most problems with reasonable effort and limited guidance</t>
  </si>
  <si>
    <t>Attempts problem solving but needs frequent support or direction</t>
  </si>
  <si>
    <t>Struggles to identify, analyze, or recover from problems</t>
  </si>
  <si>
    <t>Elijah</t>
  </si>
  <si>
    <t>Clearly explains code, logic, decisions, and project outcomes; communicates reasoning with confidence and specificity</t>
  </si>
  <si>
    <t>Communicates adequately with minor gaps in clarity or detail</t>
  </si>
  <si>
    <t>Explanation is incomplete, vague, or difficult to follow</t>
  </si>
  <si>
    <t>Cannot clearly explain the work, logic, or decisions</t>
  </si>
  <si>
    <t>Uses time effectively, stays organized, completes tasks reliably, and makes strong progress during lab time</t>
  </si>
  <si>
    <t>Generally productive with minor lapses in focus, organization, or completion</t>
  </si>
  <si>
    <t>Productivity is inconsistent or requires frequent redirection</t>
  </si>
  <si>
    <t>Frequently off-task, incomplete, or unable to make meaningful progress</t>
  </si>
  <si>
    <t>Actively uses resources, applies feedback, asks useful questions, and improves work through revision</t>
  </si>
  <si>
    <t>Uses resources and feedback appropriately with some guidance</t>
  </si>
  <si>
    <t>Uses resources inconsistently or applies feedback only partially</t>
  </si>
  <si>
    <t>Does not meaningfully engage with learning resources, feedback, or revision</t>
  </si>
  <si>
    <t>Actively contributes, supports peers, shares responsibility, and collaborates respectfully and effectively</t>
  </si>
  <si>
    <t>Participates appropriately with minor imbalance or limited initiative</t>
  </si>
  <si>
    <t>Collaboration is inconsistent, passive, or requires support</t>
  </si>
  <si>
    <t>Does not effectively collaborate or interferes with productive group work</t>
  </si>
  <si>
    <t>Consistently professional, prepared, respectful, engaged, and accountable</t>
  </si>
  <si>
    <t>Generally professional with minor issues</t>
  </si>
  <si>
    <t>Professionalism, preparation, or engagement is inconsistent</t>
  </si>
  <si>
    <t>Behavior, preparation, or engagement does not meet course expectations</t>
  </si>
  <si>
    <t>A2 - Decisions in Code</t>
  </si>
  <si>
    <t xml:space="preserve">T2 </t>
  </si>
  <si>
    <t>T5, C2, C4, C5, C6</t>
  </si>
  <si>
    <t>T1, C1, C3</t>
  </si>
  <si>
    <t>A1 - First Programs</t>
  </si>
  <si>
    <t>A3 - Loops and Repetition</t>
  </si>
  <si>
    <t>T1, T5, C1, C3</t>
  </si>
  <si>
    <t>T3, C2, C4, C5, C6</t>
  </si>
  <si>
    <t>T4, 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</si>
</sst>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E0F3C-236A-4A45-B009-401DCF0FD041}" name="Table1" displayName="Table1" ref="B5:H17" totalsRowShown="0" headerRowDxfId="0" dataDxfId="1">
  <autoFilter ref="B5:H17" xr:uid="{769E0F3C-236A-4A45-B009-401DCF0FD041}"/>
  <tableColumns count="7">
    <tableColumn id="1" xr3:uid="{82499850-D783-41FC-8954-9FCACA3FF434}" name="ID" dataDxfId="8"/>
    <tableColumn id="2" xr3:uid="{D6EBF7C1-235A-4AA9-8138-C81E028C8F30}" name="Rubric" dataDxfId="7"/>
    <tableColumn id="3" xr3:uid="{CA471149-ECF4-4421-A334-2E4CC69D86EF}" name="EVIDENCE" dataDxfId="6"/>
    <tableColumn id="4" xr3:uid="{84B41608-BB55-41B5-A8CB-6F8207B595A5}" name="4-Execeds" dataDxfId="5"/>
    <tableColumn id="5" xr3:uid="{2F5DD200-ABCB-49D1-B607-2F29D9C1EC36}" name="3-Meets" dataDxfId="4"/>
    <tableColumn id="6" xr3:uid="{A6196420-3F07-4486-A76D-4464FA567B8D}" name="2-Dev" dataDxfId="3"/>
    <tableColumn id="7" xr3:uid="{C75EF4F8-7A3C-4F9F-81CE-D54B4DA8A670}" name="1=N/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21A6-E75B-4134-BD95-513B9CE5DFC2}">
  <dimension ref="B2:H17"/>
  <sheetViews>
    <sheetView workbookViewId="0">
      <selection activeCell="F15" sqref="F15"/>
    </sheetView>
  </sheetViews>
  <sheetFormatPr defaultRowHeight="15" x14ac:dyDescent="0.25"/>
  <cols>
    <col min="1" max="1" width="5" customWidth="1"/>
    <col min="2" max="2" width="9.140625" style="2"/>
    <col min="3" max="4" width="19.140625" style="4" customWidth="1"/>
    <col min="5" max="8" width="18.7109375" style="3" customWidth="1"/>
    <col min="9" max="9" width="4.85546875" customWidth="1"/>
  </cols>
  <sheetData>
    <row r="2" spans="2:8" ht="26.25" x14ac:dyDescent="0.25">
      <c r="C2" s="4" t="s">
        <v>38</v>
      </c>
      <c r="E2" s="7" t="s">
        <v>26</v>
      </c>
      <c r="F2" s="7"/>
      <c r="G2" s="7"/>
      <c r="H2" s="7"/>
    </row>
    <row r="3" spans="2:8" x14ac:dyDescent="0.25">
      <c r="E3" s="20"/>
      <c r="F3" s="20"/>
      <c r="G3" s="20"/>
      <c r="H3" s="20"/>
    </row>
    <row r="4" spans="2:8" x14ac:dyDescent="0.25">
      <c r="B4" s="24"/>
      <c r="C4" s="25"/>
      <c r="D4" s="25"/>
      <c r="E4" s="23" t="s">
        <v>50</v>
      </c>
      <c r="F4" s="23"/>
      <c r="G4" s="23"/>
      <c r="H4" s="23"/>
    </row>
    <row r="5" spans="2:8" x14ac:dyDescent="0.25">
      <c r="B5" s="3" t="s">
        <v>92</v>
      </c>
      <c r="C5" s="4" t="s">
        <v>24</v>
      </c>
      <c r="D5" s="4" t="s">
        <v>79</v>
      </c>
      <c r="E5" s="3" t="s">
        <v>51</v>
      </c>
      <c r="F5" s="3" t="s">
        <v>52</v>
      </c>
      <c r="G5" s="3" t="s">
        <v>53</v>
      </c>
      <c r="H5" s="3" t="s">
        <v>54</v>
      </c>
    </row>
    <row r="6" spans="2:8" ht="56.25" x14ac:dyDescent="0.25">
      <c r="B6" s="9" t="s">
        <v>0</v>
      </c>
      <c r="C6" s="10" t="s">
        <v>26</v>
      </c>
      <c r="D6" s="22" t="s">
        <v>80</v>
      </c>
      <c r="E6" s="18" t="s">
        <v>55</v>
      </c>
      <c r="F6" s="18" t="s">
        <v>56</v>
      </c>
      <c r="G6" s="18" t="s">
        <v>57</v>
      </c>
      <c r="H6" s="18" t="s">
        <v>58</v>
      </c>
    </row>
    <row r="7" spans="2:8" ht="56.25" x14ac:dyDescent="0.25">
      <c r="B7" s="9" t="s">
        <v>1</v>
      </c>
      <c r="C7" s="10" t="s">
        <v>27</v>
      </c>
      <c r="D7" s="22" t="s">
        <v>81</v>
      </c>
      <c r="E7" s="19" t="s">
        <v>59</v>
      </c>
      <c r="F7" s="19" t="s">
        <v>60</v>
      </c>
      <c r="G7" s="19" t="s">
        <v>61</v>
      </c>
      <c r="H7" s="19" t="s">
        <v>62</v>
      </c>
    </row>
    <row r="8" spans="2:8" ht="67.5" x14ac:dyDescent="0.25">
      <c r="B8" s="9" t="s">
        <v>2</v>
      </c>
      <c r="C8" s="10" t="s">
        <v>28</v>
      </c>
      <c r="D8" s="22" t="s">
        <v>82</v>
      </c>
      <c r="E8" s="19" t="s">
        <v>63</v>
      </c>
      <c r="F8" s="19" t="s">
        <v>64</v>
      </c>
      <c r="G8" s="19" t="s">
        <v>65</v>
      </c>
      <c r="H8" s="19" t="s">
        <v>66</v>
      </c>
    </row>
    <row r="9" spans="2:8" ht="67.5" x14ac:dyDescent="0.25">
      <c r="B9" s="9" t="s">
        <v>4</v>
      </c>
      <c r="C9" s="10" t="s">
        <v>29</v>
      </c>
      <c r="D9" s="22" t="s">
        <v>83</v>
      </c>
      <c r="E9" s="19" t="s">
        <v>67</v>
      </c>
      <c r="F9" s="19" t="s">
        <v>68</v>
      </c>
      <c r="G9" s="19" t="s">
        <v>69</v>
      </c>
      <c r="H9" s="19" t="s">
        <v>70</v>
      </c>
    </row>
    <row r="10" spans="2:8" ht="56.25" x14ac:dyDescent="0.25">
      <c r="B10" s="9" t="s">
        <v>3</v>
      </c>
      <c r="C10" s="10" t="s">
        <v>30</v>
      </c>
      <c r="D10" s="22" t="s">
        <v>84</v>
      </c>
      <c r="E10" s="19" t="s">
        <v>71</v>
      </c>
      <c r="F10" s="19" t="s">
        <v>72</v>
      </c>
      <c r="G10" s="19" t="s">
        <v>73</v>
      </c>
      <c r="H10" s="19" t="s">
        <v>74</v>
      </c>
    </row>
    <row r="11" spans="2:8" ht="78.75" x14ac:dyDescent="0.25">
      <c r="B11" s="9" t="s">
        <v>5</v>
      </c>
      <c r="C11" s="10" t="s">
        <v>31</v>
      </c>
      <c r="D11" s="22" t="s">
        <v>85</v>
      </c>
      <c r="E11" s="19" t="s">
        <v>75</v>
      </c>
      <c r="F11" s="19" t="s">
        <v>76</v>
      </c>
      <c r="G11" s="19" t="s">
        <v>77</v>
      </c>
      <c r="H11" s="19" t="s">
        <v>78</v>
      </c>
    </row>
    <row r="12" spans="2:8" ht="45" x14ac:dyDescent="0.25">
      <c r="B12" s="9" t="s">
        <v>6</v>
      </c>
      <c r="C12" s="10" t="s">
        <v>32</v>
      </c>
      <c r="D12" s="22" t="s">
        <v>86</v>
      </c>
      <c r="E12" s="26" t="s">
        <v>93</v>
      </c>
      <c r="F12" s="26" t="s">
        <v>94</v>
      </c>
      <c r="G12" s="26" t="s">
        <v>95</v>
      </c>
      <c r="H12" s="26" t="s">
        <v>96</v>
      </c>
    </row>
    <row r="13" spans="2:8" ht="56.25" x14ac:dyDescent="0.25">
      <c r="B13" s="9" t="s">
        <v>7</v>
      </c>
      <c r="C13" s="10" t="s">
        <v>33</v>
      </c>
      <c r="D13" s="22" t="s">
        <v>87</v>
      </c>
      <c r="E13" s="26" t="s">
        <v>98</v>
      </c>
      <c r="F13" s="26" t="s">
        <v>99</v>
      </c>
      <c r="G13" s="26" t="s">
        <v>100</v>
      </c>
      <c r="H13" s="26" t="s">
        <v>101</v>
      </c>
    </row>
    <row r="14" spans="2:8" ht="45" x14ac:dyDescent="0.25">
      <c r="B14" s="9" t="s">
        <v>8</v>
      </c>
      <c r="C14" s="10" t="s">
        <v>34</v>
      </c>
      <c r="D14" s="22" t="s">
        <v>88</v>
      </c>
      <c r="E14" s="26" t="s">
        <v>102</v>
      </c>
      <c r="F14" s="26" t="s">
        <v>103</v>
      </c>
      <c r="G14" s="26" t="s">
        <v>104</v>
      </c>
      <c r="H14" s="26" t="s">
        <v>105</v>
      </c>
    </row>
    <row r="15" spans="2:8" ht="56.25" x14ac:dyDescent="0.25">
      <c r="B15" s="9" t="s">
        <v>9</v>
      </c>
      <c r="C15" s="10" t="s">
        <v>35</v>
      </c>
      <c r="D15" s="22" t="s">
        <v>89</v>
      </c>
      <c r="E15" s="26" t="s">
        <v>106</v>
      </c>
      <c r="F15" s="26" t="s">
        <v>107</v>
      </c>
      <c r="G15" s="26" t="s">
        <v>108</v>
      </c>
      <c r="H15" s="26" t="s">
        <v>109</v>
      </c>
    </row>
    <row r="16" spans="2:8" ht="56.25" x14ac:dyDescent="0.25">
      <c r="B16" s="9" t="s">
        <v>10</v>
      </c>
      <c r="C16" s="10" t="s">
        <v>36</v>
      </c>
      <c r="D16" s="22" t="s">
        <v>90</v>
      </c>
      <c r="E16" s="26" t="s">
        <v>110</v>
      </c>
      <c r="F16" s="26" t="s">
        <v>111</v>
      </c>
      <c r="G16" s="26" t="s">
        <v>112</v>
      </c>
      <c r="H16" s="26" t="s">
        <v>113</v>
      </c>
    </row>
    <row r="17" spans="2:8" ht="45" x14ac:dyDescent="0.25">
      <c r="B17" s="9" t="s">
        <v>11</v>
      </c>
      <c r="C17" s="10" t="s">
        <v>37</v>
      </c>
      <c r="D17" s="22" t="s">
        <v>91</v>
      </c>
      <c r="E17" s="26" t="s">
        <v>114</v>
      </c>
      <c r="F17" s="26" t="s">
        <v>115</v>
      </c>
      <c r="G17" s="26" t="s">
        <v>116</v>
      </c>
      <c r="H17" s="26" t="s">
        <v>117</v>
      </c>
    </row>
  </sheetData>
  <mergeCells count="2">
    <mergeCell ref="E4:H4"/>
    <mergeCell ref="E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0DE5-77DA-497C-870F-3CAF252A431C}">
  <dimension ref="B2:N25"/>
  <sheetViews>
    <sheetView workbookViewId="0">
      <selection activeCell="R8" sqref="R8"/>
    </sheetView>
  </sheetViews>
  <sheetFormatPr defaultRowHeight="15" x14ac:dyDescent="0.25"/>
  <cols>
    <col min="1" max="1" width="5" customWidth="1"/>
    <col min="2" max="2" width="9.140625" style="2"/>
    <col min="3" max="3" width="19.140625" style="4" customWidth="1"/>
    <col min="4" max="14" width="9.140625" style="3"/>
    <col min="15" max="15" width="4.85546875" customWidth="1"/>
  </cols>
  <sheetData>
    <row r="2" spans="2:14" ht="26.25" x14ac:dyDescent="0.25">
      <c r="C2" s="4" t="s">
        <v>38</v>
      </c>
      <c r="D2" s="7" t="s">
        <v>26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" customHeight="1" x14ac:dyDescent="0.25"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x14ac:dyDescent="0.25">
      <c r="C4" s="4" t="s">
        <v>39</v>
      </c>
      <c r="D4" s="14">
        <v>1</v>
      </c>
      <c r="E4" s="14"/>
      <c r="F4" s="14"/>
      <c r="I4" s="1" t="s">
        <v>48</v>
      </c>
      <c r="J4" s="1"/>
      <c r="K4" s="14">
        <v>1</v>
      </c>
      <c r="L4" s="14"/>
      <c r="M4" s="14"/>
    </row>
    <row r="5" spans="2:14" ht="18.75" x14ac:dyDescent="0.25">
      <c r="C5" s="4" t="s">
        <v>40</v>
      </c>
      <c r="D5" s="16" t="s">
        <v>49</v>
      </c>
      <c r="E5" s="16"/>
      <c r="F5" s="16"/>
      <c r="G5" s="16"/>
      <c r="H5" s="16"/>
      <c r="I5" s="16"/>
      <c r="J5" s="16"/>
      <c r="K5" s="16"/>
      <c r="L5" s="16"/>
      <c r="M5" s="16"/>
    </row>
    <row r="6" spans="2:14" x14ac:dyDescent="0.25">
      <c r="C6" s="4" t="s">
        <v>41</v>
      </c>
      <c r="D6" s="1" t="s">
        <v>0</v>
      </c>
      <c r="E6" s="1"/>
      <c r="F6" s="1"/>
      <c r="I6" s="1" t="s">
        <v>42</v>
      </c>
      <c r="J6" s="1"/>
      <c r="K6" s="11" t="s">
        <v>46</v>
      </c>
      <c r="L6" s="11"/>
      <c r="M6" s="11"/>
    </row>
    <row r="7" spans="2:14" x14ac:dyDescent="0.25">
      <c r="C7" s="4" t="s">
        <v>43</v>
      </c>
      <c r="D7" s="12" t="s">
        <v>47</v>
      </c>
      <c r="E7" s="12"/>
      <c r="F7" s="12"/>
      <c r="I7" s="1" t="s">
        <v>44</v>
      </c>
      <c r="J7" s="1"/>
      <c r="K7" s="13" t="s">
        <v>45</v>
      </c>
      <c r="L7" s="13"/>
      <c r="M7" s="13"/>
    </row>
    <row r="9" spans="2:14" x14ac:dyDescent="0.25">
      <c r="D9" s="8" t="s">
        <v>23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2:14" x14ac:dyDescent="0.25">
      <c r="D10" s="3" t="s">
        <v>97</v>
      </c>
      <c r="E10" s="3" t="s">
        <v>12</v>
      </c>
      <c r="F10" s="3" t="s">
        <v>13</v>
      </c>
      <c r="G10" s="3" t="s">
        <v>14</v>
      </c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3" t="s">
        <v>22</v>
      </c>
      <c r="N10" s="3" t="s">
        <v>16</v>
      </c>
    </row>
    <row r="11" spans="2:14" ht="30" x14ac:dyDescent="0.25">
      <c r="B11" s="9" t="s">
        <v>0</v>
      </c>
      <c r="C11" s="10" t="s">
        <v>26</v>
      </c>
      <c r="N11" s="3" t="str">
        <f>IFERROR(AVERAGEIFS(D11:M11,D11:M11,"&gt;0"),"")</f>
        <v/>
      </c>
    </row>
    <row r="12" spans="2:14" ht="30" x14ac:dyDescent="0.25">
      <c r="B12" s="9" t="s">
        <v>1</v>
      </c>
      <c r="C12" s="10" t="s">
        <v>27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" t="str">
        <f>IFERROR(AVERAGEIFS(D12:M12,D12:M12,"&gt;0"),"")</f>
        <v/>
      </c>
    </row>
    <row r="13" spans="2:14" ht="30" x14ac:dyDescent="0.25">
      <c r="B13" s="9" t="s">
        <v>2</v>
      </c>
      <c r="C13" s="10" t="s">
        <v>28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3" t="str">
        <f>IFERROR(AVERAGEIFS(D13:M13,D13:M13,"&gt;0"),"")</f>
        <v/>
      </c>
    </row>
    <row r="14" spans="2:14" ht="30" x14ac:dyDescent="0.25">
      <c r="B14" s="9" t="s">
        <v>4</v>
      </c>
      <c r="C14" s="10" t="s">
        <v>29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3" t="str">
        <f>IFERROR(AVERAGEIFS(D14:M14,D14:M14,"&gt;0"),"")</f>
        <v/>
      </c>
    </row>
    <row r="15" spans="2:14" ht="30" x14ac:dyDescent="0.25">
      <c r="B15" s="9" t="s">
        <v>3</v>
      </c>
      <c r="C15" s="10" t="s">
        <v>30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3" t="str">
        <f>IFERROR(AVERAGEIFS(D15:M15,D15:M15,"&gt;0"),"")</f>
        <v/>
      </c>
    </row>
    <row r="16" spans="2:14" ht="45" x14ac:dyDescent="0.25">
      <c r="B16" s="9" t="s">
        <v>5</v>
      </c>
      <c r="C16" s="10" t="s">
        <v>31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3" t="str">
        <f>IFERROR(AVERAGEIFS(D16:M16,D16:M16,"&gt;0"),"")</f>
        <v/>
      </c>
    </row>
    <row r="17" spans="2:14" x14ac:dyDescent="0.25">
      <c r="B17" s="9" t="s">
        <v>6</v>
      </c>
      <c r="C17" s="10" t="s">
        <v>32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3" t="str">
        <f>IFERROR(AVERAGEIFS(D17:M17,D17:M17,"&gt;0"),"")</f>
        <v/>
      </c>
    </row>
    <row r="18" spans="2:14" ht="30" x14ac:dyDescent="0.25">
      <c r="B18" s="9" t="s">
        <v>7</v>
      </c>
      <c r="C18" s="10" t="s">
        <v>33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3" t="str">
        <f>IFERROR(AVERAGEIFS(D18:M18,D18:M18,"&gt;0"),"")</f>
        <v/>
      </c>
    </row>
    <row r="19" spans="2:14" x14ac:dyDescent="0.25">
      <c r="B19" s="9" t="s">
        <v>8</v>
      </c>
      <c r="C19" s="10" t="s">
        <v>34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" t="str">
        <f>IFERROR(AVERAGEIFS(D19:M19,D19:M19,"&gt;0"),"")</f>
        <v/>
      </c>
    </row>
    <row r="20" spans="2:14" x14ac:dyDescent="0.25">
      <c r="B20" s="9" t="s">
        <v>9</v>
      </c>
      <c r="C20" s="10" t="s">
        <v>35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3" t="str">
        <f>IFERROR(AVERAGEIFS(D20:M20,D20:M20,"&gt;0"),"")</f>
        <v/>
      </c>
    </row>
    <row r="21" spans="2:14" x14ac:dyDescent="0.25">
      <c r="B21" s="9" t="s">
        <v>10</v>
      </c>
      <c r="C21" s="10" t="s">
        <v>36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" t="str">
        <f>IFERROR(AVERAGEIFS(D21:M21,D21:M21,"&gt;0"),"")</f>
        <v/>
      </c>
    </row>
    <row r="22" spans="2:14" x14ac:dyDescent="0.25">
      <c r="B22" s="9" t="s">
        <v>11</v>
      </c>
      <c r="C22" s="10" t="s">
        <v>37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3" t="str">
        <f>IFERROR(AVERAGEIFS(D22:M22,D22:M22,"&gt;0"),"")</f>
        <v/>
      </c>
    </row>
    <row r="24" spans="2:14" x14ac:dyDescent="0.25">
      <c r="B24" s="3" t="s">
        <v>15</v>
      </c>
      <c r="D24" s="3">
        <f>SUM(D11:D22)</f>
        <v>0</v>
      </c>
      <c r="E24" s="3">
        <f>SUM(E11:E23)</f>
        <v>0</v>
      </c>
      <c r="F24" s="3">
        <f>SUM(F11:F22)</f>
        <v>0</v>
      </c>
      <c r="G24" s="3">
        <f>SUM(G11:G22)</f>
        <v>0</v>
      </c>
      <c r="H24" s="3">
        <f>SUM(H11:H22)</f>
        <v>0</v>
      </c>
      <c r="I24" s="3">
        <f>SUM(I11:I22)</f>
        <v>0</v>
      </c>
      <c r="J24" s="3">
        <f>SUM(J11:J22)</f>
        <v>0</v>
      </c>
      <c r="K24" s="3">
        <f>SUM(K11:K22)</f>
        <v>0</v>
      </c>
      <c r="L24" s="3">
        <f>SUM(L11:L22)</f>
        <v>0</v>
      </c>
      <c r="M24" s="3">
        <f>SUM(M11:M22)</f>
        <v>0</v>
      </c>
      <c r="N24" s="27">
        <f>SUM(N11:N22)</f>
        <v>0</v>
      </c>
    </row>
    <row r="25" spans="2:14" x14ac:dyDescent="0.25">
      <c r="B25" s="3" t="s">
        <v>25</v>
      </c>
      <c r="D25" s="3" t="str" cm="1">
        <f t="array" ref="D25">_xlfn.IFS(D24/48&gt;=0.9,"A",D24/48&gt;=0.8,"B",D24/48&gt;=0.7,"C",D24/48&gt;=0.6,"D",TRUE,"F")</f>
        <v>F</v>
      </c>
      <c r="E25" s="3" t="str" cm="1">
        <f t="array" ref="E25">_xlfn.IFS(E24/48&gt;=0.9,"A",E24/48&gt;=0.8,"B",E24/48&gt;=0.7,"C",E24/48&gt;=0.6,"D",TRUE,"F")</f>
        <v>F</v>
      </c>
      <c r="F25" s="3" t="str" cm="1">
        <f t="array" ref="F25">_xlfn.IFS(F24/48&gt;=0.9,"A",F24/48&gt;=0.8,"B",F24/48&gt;=0.7,"C",F24/48&gt;=0.6,"D",TRUE,"F")</f>
        <v>F</v>
      </c>
      <c r="G25" s="3" t="str" cm="1">
        <f t="array" ref="G25">_xlfn.IFS(G24/48&gt;=0.9,"A",G24/48&gt;=0.8,"B",G24/48&gt;=0.7,"C",G24/48&gt;=0.6,"D",TRUE,"F")</f>
        <v>F</v>
      </c>
      <c r="H25" s="3" t="str" cm="1">
        <f t="array" ref="H25">_xlfn.IFS(H24/48&gt;=0.9,"A",H24/48&gt;=0.8,"B",H24/48&gt;=0.7,"C",H24/48&gt;=0.6,"D",TRUE,"F")</f>
        <v>F</v>
      </c>
      <c r="I25" s="3" t="str" cm="1">
        <f t="array" ref="I25">_xlfn.IFS(I24/48&gt;=0.9,"A",I24/48&gt;=0.8,"B",I24/48&gt;=0.7,"C",I24/48&gt;=0.6,"D",TRUE,"F")</f>
        <v>F</v>
      </c>
      <c r="J25" s="3" t="str" cm="1">
        <f t="array" ref="J25">_xlfn.IFS(J24/48&gt;=0.9,"A",J24/48&gt;=0.8,"B",J24/48&gt;=0.7,"C",J24/48&gt;=0.6,"D",TRUE,"F")</f>
        <v>F</v>
      </c>
      <c r="K25" s="3" t="str" cm="1">
        <f t="array" ref="K25">_xlfn.IFS(K24/48&gt;=0.9,"A",K24/48&gt;=0.8,"B",K24/48&gt;=0.7,"C",K24/48&gt;=0.6,"D",TRUE,"F")</f>
        <v>F</v>
      </c>
      <c r="L25" s="3" t="str" cm="1">
        <f t="array" ref="L25">_xlfn.IFS(L24/48&gt;=0.9,"A",L24/48&gt;=0.8,"B",L24/48&gt;=0.7,"C",L24/48&gt;=0.6,"D",TRUE,"F")</f>
        <v>F</v>
      </c>
      <c r="M25" s="3" t="str" cm="1">
        <f t="array" ref="M25">_xlfn.IFS(M24/48&gt;=0.9,"A",M24/48&gt;=0.8,"B",M24/48&gt;=0.7,"C",M24/48&gt;=0.6,"D",TRUE,"F")</f>
        <v>F</v>
      </c>
      <c r="N25" s="27" t="str" cm="1">
        <f t="array" ref="N25">_xlfn.IFS(N24/48&gt;=0.9,"A",N24/48&gt;=0.8,"B",N24/48&gt;=0.7,"C",N24/48&gt;=0.6,"D",TRUE,"F")</f>
        <v>F</v>
      </c>
    </row>
  </sheetData>
  <mergeCells count="12">
    <mergeCell ref="D5:M5"/>
    <mergeCell ref="K7:M7"/>
    <mergeCell ref="K6:M6"/>
    <mergeCell ref="D6:F6"/>
    <mergeCell ref="D7:F7"/>
    <mergeCell ref="D4:F4"/>
    <mergeCell ref="K4:M4"/>
    <mergeCell ref="D9:N9"/>
    <mergeCell ref="D2:N2"/>
    <mergeCell ref="I6:J6"/>
    <mergeCell ref="I7:J7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CB12-F114-4C4F-B464-904CD1B3E0D1}">
  <dimension ref="B2:N25"/>
  <sheetViews>
    <sheetView workbookViewId="0">
      <selection activeCell="R16" sqref="R16"/>
    </sheetView>
  </sheetViews>
  <sheetFormatPr defaultRowHeight="15" x14ac:dyDescent="0.25"/>
  <cols>
    <col min="1" max="1" width="5" customWidth="1"/>
    <col min="2" max="2" width="9.140625" style="2"/>
    <col min="3" max="3" width="19.140625" style="4" customWidth="1"/>
    <col min="4" max="14" width="9.140625" style="3"/>
    <col min="15" max="15" width="4.85546875" customWidth="1"/>
  </cols>
  <sheetData>
    <row r="2" spans="2:14" ht="26.25" x14ac:dyDescent="0.25">
      <c r="C2" s="4" t="s">
        <v>38</v>
      </c>
      <c r="D2" s="7" t="s">
        <v>26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" customHeight="1" x14ac:dyDescent="0.25"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x14ac:dyDescent="0.25">
      <c r="C4" s="4" t="s">
        <v>39</v>
      </c>
      <c r="D4" s="14">
        <v>1</v>
      </c>
      <c r="E4" s="14"/>
      <c r="F4" s="14"/>
      <c r="I4" s="1" t="s">
        <v>48</v>
      </c>
      <c r="J4" s="1"/>
      <c r="K4" s="14">
        <v>1</v>
      </c>
      <c r="L4" s="14"/>
      <c r="M4" s="14"/>
    </row>
    <row r="5" spans="2:14" ht="18.75" x14ac:dyDescent="0.25">
      <c r="C5" s="4" t="s">
        <v>40</v>
      </c>
      <c r="D5" s="16" t="s">
        <v>122</v>
      </c>
      <c r="E5" s="16"/>
      <c r="F5" s="16"/>
      <c r="G5" s="16"/>
      <c r="H5" s="16"/>
      <c r="I5" s="16"/>
      <c r="J5" s="16"/>
      <c r="K5" s="16"/>
      <c r="L5" s="16"/>
      <c r="M5" s="16"/>
    </row>
    <row r="6" spans="2:14" x14ac:dyDescent="0.25">
      <c r="C6" s="4" t="s">
        <v>41</v>
      </c>
      <c r="D6" s="1" t="s">
        <v>0</v>
      </c>
      <c r="E6" s="1"/>
      <c r="F6" s="1"/>
      <c r="I6" s="1" t="s">
        <v>42</v>
      </c>
      <c r="J6" s="1"/>
      <c r="K6" s="30" t="s">
        <v>46</v>
      </c>
      <c r="L6" s="30"/>
      <c r="M6" s="30"/>
    </row>
    <row r="7" spans="2:14" x14ac:dyDescent="0.25">
      <c r="C7" s="4" t="s">
        <v>43</v>
      </c>
      <c r="D7" s="12" t="s">
        <v>47</v>
      </c>
      <c r="E7" s="12"/>
      <c r="F7" s="12"/>
      <c r="I7" s="1" t="s">
        <v>44</v>
      </c>
      <c r="J7" s="1"/>
      <c r="K7" s="13" t="s">
        <v>45</v>
      </c>
      <c r="L7" s="13"/>
      <c r="M7" s="13"/>
    </row>
    <row r="9" spans="2:14" x14ac:dyDescent="0.25">
      <c r="D9" s="8" t="s">
        <v>23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2:14" x14ac:dyDescent="0.25">
      <c r="D10" s="3" t="s">
        <v>97</v>
      </c>
      <c r="E10" s="3" t="s">
        <v>12</v>
      </c>
      <c r="F10" s="3" t="s">
        <v>13</v>
      </c>
      <c r="G10" s="3" t="s">
        <v>14</v>
      </c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3" t="s">
        <v>22</v>
      </c>
      <c r="N10" s="3" t="s">
        <v>16</v>
      </c>
    </row>
    <row r="11" spans="2:14" ht="30" x14ac:dyDescent="0.25">
      <c r="B11" s="9" t="s">
        <v>0</v>
      </c>
      <c r="C11" s="10" t="s">
        <v>26</v>
      </c>
      <c r="D11" s="3">
        <v>3</v>
      </c>
      <c r="N11" s="3">
        <f>IFERROR(AVERAGEIFS(D11:M11,D11:M11,"&gt;0"),"")</f>
        <v>3</v>
      </c>
    </row>
    <row r="12" spans="2:14" ht="30" x14ac:dyDescent="0.25">
      <c r="B12" s="9" t="s">
        <v>1</v>
      </c>
      <c r="C12" s="10" t="s">
        <v>27</v>
      </c>
      <c r="D12" s="5">
        <v>3</v>
      </c>
      <c r="E12" s="5">
        <v>3</v>
      </c>
      <c r="F12" s="5">
        <v>3</v>
      </c>
      <c r="G12" s="5">
        <v>3</v>
      </c>
      <c r="H12" s="5">
        <v>3</v>
      </c>
      <c r="I12" s="5">
        <v>3</v>
      </c>
      <c r="J12" s="5">
        <v>3</v>
      </c>
      <c r="K12" s="5">
        <v>3</v>
      </c>
      <c r="L12" s="5">
        <v>3</v>
      </c>
      <c r="M12" s="5">
        <v>3</v>
      </c>
      <c r="N12" s="3">
        <f>IFERROR(AVERAGEIFS(D12:M12,D12:M12,"&gt;0"),"")</f>
        <v>3</v>
      </c>
    </row>
    <row r="13" spans="2:14" ht="30" x14ac:dyDescent="0.25">
      <c r="B13" s="9" t="s">
        <v>2</v>
      </c>
      <c r="C13" s="10" t="s">
        <v>28</v>
      </c>
      <c r="D13" s="6">
        <v>4</v>
      </c>
      <c r="E13" s="6">
        <v>4</v>
      </c>
      <c r="F13" s="6">
        <v>4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v>4</v>
      </c>
      <c r="N13" s="3">
        <f>IFERROR(AVERAGEIFS(D13:M13,D13:M13,"&gt;0"),"")</f>
        <v>4</v>
      </c>
    </row>
    <row r="14" spans="2:14" ht="30" x14ac:dyDescent="0.25">
      <c r="B14" s="9" t="s">
        <v>4</v>
      </c>
      <c r="C14" s="10" t="s">
        <v>29</v>
      </c>
      <c r="D14" s="6">
        <v>4</v>
      </c>
      <c r="E14" s="6">
        <v>4</v>
      </c>
      <c r="F14" s="6">
        <v>4</v>
      </c>
      <c r="G14" s="6">
        <v>4</v>
      </c>
      <c r="H14" s="6">
        <v>4</v>
      </c>
      <c r="I14" s="6">
        <v>4</v>
      </c>
      <c r="J14" s="6">
        <v>4</v>
      </c>
      <c r="K14" s="6">
        <v>4</v>
      </c>
      <c r="L14" s="6">
        <v>4</v>
      </c>
      <c r="M14" s="6">
        <v>4</v>
      </c>
      <c r="N14" s="3">
        <f>IFERROR(AVERAGEIFS(D14:M14,D14:M14,"&gt;0"),"")</f>
        <v>4</v>
      </c>
    </row>
    <row r="15" spans="2:14" ht="30" x14ac:dyDescent="0.25">
      <c r="B15" s="9" t="s">
        <v>3</v>
      </c>
      <c r="C15" s="10" t="s">
        <v>30</v>
      </c>
      <c r="D15" s="5">
        <v>4</v>
      </c>
      <c r="E15" s="5">
        <v>3</v>
      </c>
      <c r="F15" s="5">
        <v>3</v>
      </c>
      <c r="G15" s="5">
        <v>3</v>
      </c>
      <c r="H15" s="5">
        <v>3</v>
      </c>
      <c r="I15" s="5">
        <v>3</v>
      </c>
      <c r="J15" s="5">
        <v>3</v>
      </c>
      <c r="K15" s="5">
        <v>3</v>
      </c>
      <c r="L15" s="5">
        <v>3</v>
      </c>
      <c r="M15" s="5">
        <v>3</v>
      </c>
      <c r="N15" s="3">
        <f>IFERROR(AVERAGEIFS(D15:M15,D15:M15,"&gt;0"),"")</f>
        <v>3.1</v>
      </c>
    </row>
    <row r="16" spans="2:14" ht="45" x14ac:dyDescent="0.25">
      <c r="B16" s="9" t="s">
        <v>5</v>
      </c>
      <c r="C16" s="10" t="s">
        <v>31</v>
      </c>
      <c r="D16" s="6">
        <v>4</v>
      </c>
      <c r="E16" s="6">
        <v>4</v>
      </c>
      <c r="F16" s="6">
        <v>4</v>
      </c>
      <c r="G16" s="6">
        <v>4</v>
      </c>
      <c r="H16" s="6">
        <v>4</v>
      </c>
      <c r="I16" s="6">
        <v>4</v>
      </c>
      <c r="J16" s="6">
        <v>4</v>
      </c>
      <c r="K16" s="6">
        <v>4</v>
      </c>
      <c r="L16" s="6">
        <v>4</v>
      </c>
      <c r="M16" s="6">
        <v>4</v>
      </c>
      <c r="N16" s="3">
        <f>IFERROR(AVERAGEIFS(D16:M16,D16:M16,"&gt;0"),"")</f>
        <v>4</v>
      </c>
    </row>
    <row r="17" spans="2:14" x14ac:dyDescent="0.25">
      <c r="B17" s="9" t="s">
        <v>6</v>
      </c>
      <c r="C17" s="10" t="s">
        <v>32</v>
      </c>
      <c r="D17" s="5">
        <v>2</v>
      </c>
      <c r="E17" s="5">
        <v>3</v>
      </c>
      <c r="F17" s="5">
        <v>3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3</v>
      </c>
      <c r="M17" s="5">
        <v>3</v>
      </c>
      <c r="N17" s="3">
        <f>IFERROR(AVERAGEIFS(D17:M17,D17:M17,"&gt;0"),"")</f>
        <v>2.9</v>
      </c>
    </row>
    <row r="18" spans="2:14" ht="30" x14ac:dyDescent="0.25">
      <c r="B18" s="9" t="s">
        <v>7</v>
      </c>
      <c r="C18" s="10" t="s">
        <v>33</v>
      </c>
      <c r="D18" s="29">
        <v>3</v>
      </c>
      <c r="E18" s="29"/>
      <c r="F18" s="29"/>
      <c r="G18" s="29"/>
      <c r="H18" s="29"/>
      <c r="I18" s="29"/>
      <c r="J18" s="29"/>
      <c r="K18" s="29"/>
      <c r="L18" s="29"/>
      <c r="M18" s="29"/>
      <c r="N18" s="3">
        <f>IFERROR(AVERAGEIFS(D18:M18,D18:M18,"&gt;0"),"")</f>
        <v>3</v>
      </c>
    </row>
    <row r="19" spans="2:14" x14ac:dyDescent="0.25">
      <c r="B19" s="9" t="s">
        <v>8</v>
      </c>
      <c r="C19" s="10" t="s">
        <v>34</v>
      </c>
      <c r="D19" s="29">
        <v>2</v>
      </c>
      <c r="E19" s="29"/>
      <c r="F19" s="29"/>
      <c r="G19" s="29"/>
      <c r="H19" s="29"/>
      <c r="I19" s="29"/>
      <c r="J19" s="29"/>
      <c r="K19" s="29"/>
      <c r="L19" s="29"/>
      <c r="M19" s="29"/>
      <c r="N19" s="3">
        <f>IFERROR(AVERAGEIFS(D19:M19,D19:M19,"&gt;0"),"")</f>
        <v>2</v>
      </c>
    </row>
    <row r="20" spans="2:14" x14ac:dyDescent="0.25">
      <c r="B20" s="9" t="s">
        <v>9</v>
      </c>
      <c r="C20" s="10" t="s">
        <v>35</v>
      </c>
      <c r="D20" s="5">
        <v>3</v>
      </c>
      <c r="E20" s="5">
        <v>3</v>
      </c>
      <c r="F20" s="5">
        <v>3</v>
      </c>
      <c r="G20" s="5">
        <v>3</v>
      </c>
      <c r="H20" s="5">
        <v>3</v>
      </c>
      <c r="I20" s="5">
        <v>3</v>
      </c>
      <c r="J20" s="5">
        <v>3</v>
      </c>
      <c r="K20" s="5">
        <v>3</v>
      </c>
      <c r="L20" s="5">
        <v>3</v>
      </c>
      <c r="M20" s="5">
        <v>3</v>
      </c>
      <c r="N20" s="3">
        <f>IFERROR(AVERAGEIFS(D20:M20,D20:M20,"&gt;0"),"")</f>
        <v>3</v>
      </c>
    </row>
    <row r="21" spans="2:14" x14ac:dyDescent="0.25">
      <c r="B21" s="9" t="s">
        <v>10</v>
      </c>
      <c r="C21" s="10" t="s">
        <v>36</v>
      </c>
      <c r="D21" s="5">
        <v>3</v>
      </c>
      <c r="E21" s="5">
        <v>3</v>
      </c>
      <c r="F21" s="5">
        <v>3</v>
      </c>
      <c r="G21" s="5">
        <v>3</v>
      </c>
      <c r="H21" s="5">
        <v>3</v>
      </c>
      <c r="I21" s="5">
        <v>3</v>
      </c>
      <c r="J21" s="5">
        <v>3</v>
      </c>
      <c r="K21" s="5">
        <v>3</v>
      </c>
      <c r="L21" s="5">
        <v>3</v>
      </c>
      <c r="M21" s="5">
        <v>3</v>
      </c>
      <c r="N21" s="3">
        <f>IFERROR(AVERAGEIFS(D21:M21,D21:M21,"&gt;0"),"")</f>
        <v>3</v>
      </c>
    </row>
    <row r="22" spans="2:14" x14ac:dyDescent="0.25">
      <c r="B22" s="9" t="s">
        <v>11</v>
      </c>
      <c r="C22" s="10" t="s">
        <v>37</v>
      </c>
      <c r="D22" s="5">
        <v>4</v>
      </c>
      <c r="E22" s="5">
        <v>3</v>
      </c>
      <c r="F22" s="5">
        <v>3</v>
      </c>
      <c r="G22" s="5">
        <v>3</v>
      </c>
      <c r="H22" s="5">
        <v>3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3">
        <f>IFERROR(AVERAGEIFS(D22:M22,D22:M22,"&gt;0"),"")</f>
        <v>3.1</v>
      </c>
    </row>
    <row r="24" spans="2:14" x14ac:dyDescent="0.25">
      <c r="B24" s="3" t="s">
        <v>15</v>
      </c>
      <c r="D24" s="3">
        <f>SUM(D11:D22)</f>
        <v>39</v>
      </c>
      <c r="E24" s="3">
        <f>SUM(E11:E23)</f>
        <v>30</v>
      </c>
      <c r="F24" s="3">
        <f>SUM(F11:F22)</f>
        <v>30</v>
      </c>
      <c r="G24" s="3">
        <f>SUM(G11:G22)</f>
        <v>30</v>
      </c>
      <c r="H24" s="3">
        <f>SUM(H11:H22)</f>
        <v>30</v>
      </c>
      <c r="I24" s="3">
        <f>SUM(I11:I22)</f>
        <v>30</v>
      </c>
      <c r="J24" s="3">
        <f>SUM(J11:J22)</f>
        <v>30</v>
      </c>
      <c r="K24" s="3">
        <f>SUM(K11:K22)</f>
        <v>30</v>
      </c>
      <c r="L24" s="3">
        <f>SUM(L11:L22)</f>
        <v>30</v>
      </c>
      <c r="M24" s="3">
        <f>SUM(M11:M22)</f>
        <v>30</v>
      </c>
      <c r="N24" s="27">
        <f>SUM(N11:N22)</f>
        <v>38.1</v>
      </c>
    </row>
    <row r="25" spans="2:14" x14ac:dyDescent="0.25">
      <c r="B25" s="3" t="s">
        <v>25</v>
      </c>
      <c r="D25" s="3" t="str" cm="1">
        <f t="array" ref="D25">_xlfn.IFS(D24/48&gt;=0.9,"A",D24/48&gt;=0.8,"B",D24/48&gt;=0.7,"C",D24/48&gt;=0.6,"D",TRUE,"F")</f>
        <v>B</v>
      </c>
      <c r="E25" s="3" t="str" cm="1">
        <f t="array" ref="E25">_xlfn.IFS(E24/48&gt;=0.9,"A",E24/48&gt;=0.8,"B",E24/48&gt;=0.7,"C",E24/48&gt;=0.6,"D",TRUE,"F")</f>
        <v>D</v>
      </c>
      <c r="F25" s="3" t="str" cm="1">
        <f t="array" ref="F25">_xlfn.IFS(F24/48&gt;=0.9,"A",F24/48&gt;=0.8,"B",F24/48&gt;=0.7,"C",F24/48&gt;=0.6,"D",TRUE,"F")</f>
        <v>D</v>
      </c>
      <c r="G25" s="3" t="str" cm="1">
        <f t="array" ref="G25">_xlfn.IFS(G24/48&gt;=0.9,"A",G24/48&gt;=0.8,"B",G24/48&gt;=0.7,"C",G24/48&gt;=0.6,"D",TRUE,"F")</f>
        <v>D</v>
      </c>
      <c r="H25" s="3" t="str" cm="1">
        <f t="array" ref="H25">_xlfn.IFS(H24/48&gt;=0.9,"A",H24/48&gt;=0.8,"B",H24/48&gt;=0.7,"C",H24/48&gt;=0.6,"D",TRUE,"F")</f>
        <v>D</v>
      </c>
      <c r="I25" s="3" t="str" cm="1">
        <f t="array" ref="I25">_xlfn.IFS(I24/48&gt;=0.9,"A",I24/48&gt;=0.8,"B",I24/48&gt;=0.7,"C",I24/48&gt;=0.6,"D",TRUE,"F")</f>
        <v>D</v>
      </c>
      <c r="J25" s="3" t="str" cm="1">
        <f t="array" ref="J25">_xlfn.IFS(J24/48&gt;=0.9,"A",J24/48&gt;=0.8,"B",J24/48&gt;=0.7,"C",J24/48&gt;=0.6,"D",TRUE,"F")</f>
        <v>D</v>
      </c>
      <c r="K25" s="3" t="str" cm="1">
        <f t="array" ref="K25">_xlfn.IFS(K24/48&gt;=0.9,"A",K24/48&gt;=0.8,"B",K24/48&gt;=0.7,"C",K24/48&gt;=0.6,"D",TRUE,"F")</f>
        <v>D</v>
      </c>
      <c r="L25" s="3" t="str" cm="1">
        <f t="array" ref="L25">_xlfn.IFS(L24/48&gt;=0.9,"A",L24/48&gt;=0.8,"B",L24/48&gt;=0.7,"C",L24/48&gt;=0.6,"D",TRUE,"F")</f>
        <v>D</v>
      </c>
      <c r="M25" s="3" t="str" cm="1">
        <f t="array" ref="M25">_xlfn.IFS(M24/48&gt;=0.9,"A",M24/48&gt;=0.8,"B",M24/48&gt;=0.7,"C",M24/48&gt;=0.6,"D",TRUE,"F")</f>
        <v>D</v>
      </c>
      <c r="N25" s="27" t="str" cm="1">
        <f t="array" ref="N25">_xlfn.IFS(N24/48&gt;=0.9,"A",N24/48&gt;=0.8,"B",N24/48&gt;=0.7,"C",N24/48&gt;=0.6,"D",TRUE,"F")</f>
        <v>C</v>
      </c>
    </row>
  </sheetData>
  <mergeCells count="12">
    <mergeCell ref="D7:F7"/>
    <mergeCell ref="I7:J7"/>
    <mergeCell ref="K7:M7"/>
    <mergeCell ref="D9:N9"/>
    <mergeCell ref="D2:N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5F3A-EB7C-40C6-881A-C09E8D40DE78}">
  <dimension ref="B2:N25"/>
  <sheetViews>
    <sheetView workbookViewId="0">
      <selection activeCell="D19" sqref="D19:M19"/>
    </sheetView>
  </sheetViews>
  <sheetFormatPr defaultRowHeight="15" x14ac:dyDescent="0.25"/>
  <cols>
    <col min="1" max="1" width="5" customWidth="1"/>
    <col min="2" max="2" width="9.140625" style="2"/>
    <col min="3" max="3" width="19.140625" style="4" customWidth="1"/>
    <col min="4" max="14" width="9.140625" style="3"/>
    <col min="15" max="15" width="4.85546875" customWidth="1"/>
  </cols>
  <sheetData>
    <row r="2" spans="2:14" ht="26.25" x14ac:dyDescent="0.25">
      <c r="C2" s="4" t="s">
        <v>38</v>
      </c>
      <c r="D2" s="7" t="s">
        <v>26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" customHeight="1" x14ac:dyDescent="0.25"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x14ac:dyDescent="0.25">
      <c r="C4" s="4" t="s">
        <v>39</v>
      </c>
      <c r="D4" s="14">
        <v>1</v>
      </c>
      <c r="E4" s="14"/>
      <c r="F4" s="14"/>
      <c r="I4" s="1" t="s">
        <v>48</v>
      </c>
      <c r="J4" s="1"/>
      <c r="K4" s="14">
        <v>1</v>
      </c>
      <c r="L4" s="14"/>
      <c r="M4" s="14"/>
    </row>
    <row r="5" spans="2:14" ht="18.75" x14ac:dyDescent="0.25">
      <c r="C5" s="4" t="s">
        <v>40</v>
      </c>
      <c r="D5" s="16" t="s">
        <v>118</v>
      </c>
      <c r="E5" s="16"/>
      <c r="F5" s="16"/>
      <c r="G5" s="16"/>
      <c r="H5" s="16"/>
      <c r="I5" s="16"/>
      <c r="J5" s="16"/>
      <c r="K5" s="16"/>
      <c r="L5" s="16"/>
      <c r="M5" s="16"/>
    </row>
    <row r="6" spans="2:14" x14ac:dyDescent="0.25">
      <c r="C6" s="4" t="s">
        <v>41</v>
      </c>
      <c r="D6" s="1" t="s">
        <v>119</v>
      </c>
      <c r="E6" s="1"/>
      <c r="F6" s="1"/>
      <c r="I6" s="1" t="s">
        <v>42</v>
      </c>
      <c r="J6" s="1"/>
      <c r="K6" s="30" t="s">
        <v>121</v>
      </c>
      <c r="L6" s="30"/>
      <c r="M6" s="30"/>
    </row>
    <row r="7" spans="2:14" x14ac:dyDescent="0.25">
      <c r="C7" s="4" t="s">
        <v>43</v>
      </c>
      <c r="D7" s="12" t="s">
        <v>120</v>
      </c>
      <c r="E7" s="12"/>
      <c r="F7" s="12"/>
      <c r="I7" s="1" t="s">
        <v>44</v>
      </c>
      <c r="J7" s="1"/>
      <c r="K7" s="13" t="s">
        <v>45</v>
      </c>
      <c r="L7" s="13"/>
      <c r="M7" s="13"/>
    </row>
    <row r="9" spans="2:14" x14ac:dyDescent="0.25">
      <c r="D9" s="8" t="s">
        <v>23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2:14" x14ac:dyDescent="0.25">
      <c r="D10" s="3" t="s">
        <v>97</v>
      </c>
      <c r="E10" s="3" t="s">
        <v>12</v>
      </c>
      <c r="F10" s="3" t="s">
        <v>13</v>
      </c>
      <c r="G10" s="3" t="s">
        <v>14</v>
      </c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3" t="s">
        <v>22</v>
      </c>
      <c r="N10" s="3" t="s">
        <v>16</v>
      </c>
    </row>
    <row r="11" spans="2:14" ht="30" x14ac:dyDescent="0.25">
      <c r="B11" s="9" t="s">
        <v>0</v>
      </c>
      <c r="C11" s="10" t="s">
        <v>26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" t="str">
        <f>IFERROR(AVERAGEIFS(D11:M11,D11:M11,"&gt;0"),"")</f>
        <v/>
      </c>
    </row>
    <row r="12" spans="2:14" ht="30" x14ac:dyDescent="0.25">
      <c r="B12" s="9" t="s">
        <v>1</v>
      </c>
      <c r="C12" s="10" t="s">
        <v>27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" t="str">
        <f>IFERROR(AVERAGEIFS(D12:M12,D12:M12,"&gt;0"),"")</f>
        <v/>
      </c>
    </row>
    <row r="13" spans="2:14" ht="30" x14ac:dyDescent="0.25">
      <c r="B13" s="9" t="s">
        <v>2</v>
      </c>
      <c r="C13" s="10" t="s">
        <v>28</v>
      </c>
      <c r="D13" s="15">
        <v>4</v>
      </c>
      <c r="E13" s="15">
        <v>4</v>
      </c>
      <c r="F13" s="15">
        <v>4</v>
      </c>
      <c r="G13" s="15">
        <v>4</v>
      </c>
      <c r="H13" s="15">
        <v>4</v>
      </c>
      <c r="I13" s="15">
        <v>4</v>
      </c>
      <c r="J13" s="15">
        <v>4</v>
      </c>
      <c r="K13" s="15">
        <v>4</v>
      </c>
      <c r="L13" s="15">
        <v>4</v>
      </c>
      <c r="M13" s="15">
        <v>4</v>
      </c>
      <c r="N13" s="3">
        <f>IFERROR(AVERAGEIFS(D13:M13,D13:M13,"&gt;0"),"")</f>
        <v>4</v>
      </c>
    </row>
    <row r="14" spans="2:14" ht="30" x14ac:dyDescent="0.25">
      <c r="B14" s="9" t="s">
        <v>4</v>
      </c>
      <c r="C14" s="10" t="s">
        <v>29</v>
      </c>
      <c r="D14" s="15">
        <v>4</v>
      </c>
      <c r="E14" s="15">
        <v>4</v>
      </c>
      <c r="F14" s="15">
        <v>4</v>
      </c>
      <c r="G14" s="15">
        <v>4</v>
      </c>
      <c r="H14" s="15">
        <v>4</v>
      </c>
      <c r="I14" s="15">
        <v>4</v>
      </c>
      <c r="J14" s="15">
        <v>4</v>
      </c>
      <c r="K14" s="15">
        <v>4</v>
      </c>
      <c r="L14" s="15">
        <v>4</v>
      </c>
      <c r="M14" s="15">
        <v>4</v>
      </c>
      <c r="N14" s="3">
        <f>IFERROR(AVERAGEIFS(D14:M14,D14:M14,"&gt;0"),"")</f>
        <v>4</v>
      </c>
    </row>
    <row r="15" spans="2:14" ht="30" x14ac:dyDescent="0.25">
      <c r="B15" s="9" t="s">
        <v>3</v>
      </c>
      <c r="C15" s="10" t="s">
        <v>30</v>
      </c>
      <c r="D15" s="5">
        <v>3</v>
      </c>
      <c r="E15" s="5">
        <v>3</v>
      </c>
      <c r="F15" s="5">
        <v>3</v>
      </c>
      <c r="G15" s="5">
        <v>3</v>
      </c>
      <c r="H15" s="5">
        <v>3</v>
      </c>
      <c r="I15" s="5">
        <v>3</v>
      </c>
      <c r="J15" s="5">
        <v>3</v>
      </c>
      <c r="K15" s="5">
        <v>3</v>
      </c>
      <c r="L15" s="5">
        <v>3</v>
      </c>
      <c r="M15" s="5">
        <v>3</v>
      </c>
      <c r="N15" s="3">
        <f>IFERROR(AVERAGEIFS(D15:M15,D15:M15,"&gt;0"),"")</f>
        <v>3</v>
      </c>
    </row>
    <row r="16" spans="2:14" ht="45" x14ac:dyDescent="0.25">
      <c r="B16" s="9" t="s">
        <v>5</v>
      </c>
      <c r="C16" s="10" t="s">
        <v>31</v>
      </c>
      <c r="D16" s="15">
        <v>4</v>
      </c>
      <c r="E16" s="15">
        <v>4</v>
      </c>
      <c r="F16" s="15">
        <v>4</v>
      </c>
      <c r="G16" s="15">
        <v>4</v>
      </c>
      <c r="H16" s="15">
        <v>4</v>
      </c>
      <c r="I16" s="15">
        <v>4</v>
      </c>
      <c r="J16" s="15">
        <v>4</v>
      </c>
      <c r="K16" s="15">
        <v>4</v>
      </c>
      <c r="L16" s="15">
        <v>4</v>
      </c>
      <c r="M16" s="15">
        <v>4</v>
      </c>
      <c r="N16" s="3">
        <f>IFERROR(AVERAGEIFS(D16:M16,D16:M16,"&gt;0"),"")</f>
        <v>4</v>
      </c>
    </row>
    <row r="17" spans="2:14" x14ac:dyDescent="0.25">
      <c r="B17" s="9" t="s">
        <v>6</v>
      </c>
      <c r="C17" s="10" t="s">
        <v>32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" t="str">
        <f>IFERROR(AVERAGEIFS(D17:M17,D17:M17,"&gt;0"),"")</f>
        <v/>
      </c>
    </row>
    <row r="18" spans="2:14" ht="30" x14ac:dyDescent="0.25">
      <c r="B18" s="9" t="s">
        <v>7</v>
      </c>
      <c r="C18" s="10" t="s">
        <v>33</v>
      </c>
      <c r="D18" s="5">
        <v>3</v>
      </c>
      <c r="E18" s="5">
        <v>3</v>
      </c>
      <c r="F18" s="5">
        <v>3</v>
      </c>
      <c r="G18" s="5">
        <v>3</v>
      </c>
      <c r="H18" s="5">
        <v>3</v>
      </c>
      <c r="I18" s="5">
        <v>3</v>
      </c>
      <c r="J18" s="5">
        <v>3</v>
      </c>
      <c r="K18" s="5">
        <v>3</v>
      </c>
      <c r="L18" s="5">
        <v>3</v>
      </c>
      <c r="M18" s="5">
        <v>3</v>
      </c>
      <c r="N18" s="3">
        <f>IFERROR(AVERAGEIFS(D18:M18,D18:M18,"&gt;0"),"")</f>
        <v>3</v>
      </c>
    </row>
    <row r="19" spans="2:14" x14ac:dyDescent="0.25">
      <c r="B19" s="9" t="s">
        <v>8</v>
      </c>
      <c r="C19" s="10" t="s">
        <v>34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" t="str">
        <f>IFERROR(AVERAGEIFS(D19:M19,D19:M19,"&gt;0"),"")</f>
        <v/>
      </c>
    </row>
    <row r="20" spans="2:14" x14ac:dyDescent="0.25">
      <c r="B20" s="9" t="s">
        <v>9</v>
      </c>
      <c r="C20" s="10" t="s">
        <v>35</v>
      </c>
      <c r="D20" s="5">
        <v>3</v>
      </c>
      <c r="E20" s="5">
        <v>3</v>
      </c>
      <c r="F20" s="5">
        <v>3</v>
      </c>
      <c r="G20" s="5">
        <v>3</v>
      </c>
      <c r="H20" s="5">
        <v>3</v>
      </c>
      <c r="I20" s="5">
        <v>3</v>
      </c>
      <c r="J20" s="5">
        <v>3</v>
      </c>
      <c r="K20" s="5">
        <v>3</v>
      </c>
      <c r="L20" s="5">
        <v>3</v>
      </c>
      <c r="M20" s="5">
        <v>3</v>
      </c>
      <c r="N20" s="3">
        <f>IFERROR(AVERAGEIFS(D20:M20,D20:M20,"&gt;0"),"")</f>
        <v>3</v>
      </c>
    </row>
    <row r="21" spans="2:14" x14ac:dyDescent="0.25">
      <c r="B21" s="9" t="s">
        <v>10</v>
      </c>
      <c r="C21" s="10" t="s">
        <v>36</v>
      </c>
      <c r="D21" s="5">
        <v>3</v>
      </c>
      <c r="E21" s="5">
        <v>3</v>
      </c>
      <c r="F21" s="5">
        <v>3</v>
      </c>
      <c r="G21" s="5">
        <v>3</v>
      </c>
      <c r="H21" s="5">
        <v>3</v>
      </c>
      <c r="I21" s="5">
        <v>3</v>
      </c>
      <c r="J21" s="5">
        <v>3</v>
      </c>
      <c r="K21" s="5">
        <v>3</v>
      </c>
      <c r="L21" s="5">
        <v>3</v>
      </c>
      <c r="M21" s="5">
        <v>3</v>
      </c>
      <c r="N21" s="3">
        <f>IFERROR(AVERAGEIFS(D21:M21,D21:M21,"&gt;0"),"")</f>
        <v>3</v>
      </c>
    </row>
    <row r="22" spans="2:14" x14ac:dyDescent="0.25">
      <c r="B22" s="9" t="s">
        <v>11</v>
      </c>
      <c r="C22" s="10" t="s">
        <v>37</v>
      </c>
      <c r="D22" s="5">
        <v>3</v>
      </c>
      <c r="E22" s="5">
        <v>3</v>
      </c>
      <c r="F22" s="5">
        <v>3</v>
      </c>
      <c r="G22" s="5">
        <v>3</v>
      </c>
      <c r="H22" s="5">
        <v>3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3">
        <f>IFERROR(AVERAGEIFS(D22:M22,D22:M22,"&gt;0"),"")</f>
        <v>3</v>
      </c>
    </row>
    <row r="24" spans="2:14" x14ac:dyDescent="0.25">
      <c r="B24" s="3" t="s">
        <v>15</v>
      </c>
      <c r="D24" s="3">
        <f>SUM(D11:D22)</f>
        <v>27</v>
      </c>
      <c r="E24" s="3">
        <f>SUM(E11:E23)</f>
        <v>27</v>
      </c>
      <c r="F24" s="3">
        <f>SUM(F11:F22)</f>
        <v>27</v>
      </c>
      <c r="G24" s="3">
        <f>SUM(G11:G22)</f>
        <v>27</v>
      </c>
      <c r="H24" s="3">
        <f>SUM(H11:H22)</f>
        <v>27</v>
      </c>
      <c r="I24" s="3">
        <f>SUM(I11:I22)</f>
        <v>27</v>
      </c>
      <c r="J24" s="3">
        <f>SUM(J11:J22)</f>
        <v>27</v>
      </c>
      <c r="K24" s="3">
        <f>SUM(K11:K22)</f>
        <v>27</v>
      </c>
      <c r="L24" s="3">
        <f>SUM(L11:L22)</f>
        <v>27</v>
      </c>
      <c r="M24" s="3">
        <f>SUM(M11:M22)</f>
        <v>27</v>
      </c>
      <c r="N24" s="27">
        <f>SUM(N11:N22)</f>
        <v>27</v>
      </c>
    </row>
    <row r="25" spans="2:14" x14ac:dyDescent="0.25">
      <c r="B25" s="3" t="s">
        <v>25</v>
      </c>
      <c r="D25" s="3" t="str" cm="1">
        <f t="array" ref="D25">_xlfn.IFS(D24/48&gt;=0.9,"A",D24/48&gt;=0.8,"B",D24/48&gt;=0.7,"C",D24/48&gt;=0.6,"D",TRUE,"F")</f>
        <v>F</v>
      </c>
      <c r="E25" s="3" t="str" cm="1">
        <f t="array" ref="E25">_xlfn.IFS(E24/48&gt;=0.9,"A",E24/48&gt;=0.8,"B",E24/48&gt;=0.7,"C",E24/48&gt;=0.6,"D",TRUE,"F")</f>
        <v>F</v>
      </c>
      <c r="F25" s="3" t="str" cm="1">
        <f t="array" ref="F25">_xlfn.IFS(F24/48&gt;=0.9,"A",F24/48&gt;=0.8,"B",F24/48&gt;=0.7,"C",F24/48&gt;=0.6,"D",TRUE,"F")</f>
        <v>F</v>
      </c>
      <c r="G25" s="3" t="str" cm="1">
        <f t="array" ref="G25">_xlfn.IFS(G24/48&gt;=0.9,"A",G24/48&gt;=0.8,"B",G24/48&gt;=0.7,"C",G24/48&gt;=0.6,"D",TRUE,"F")</f>
        <v>F</v>
      </c>
      <c r="H25" s="3" t="str" cm="1">
        <f t="array" ref="H25">_xlfn.IFS(H24/48&gt;=0.9,"A",H24/48&gt;=0.8,"B",H24/48&gt;=0.7,"C",H24/48&gt;=0.6,"D",TRUE,"F")</f>
        <v>F</v>
      </c>
      <c r="I25" s="3" t="str" cm="1">
        <f t="array" ref="I25">_xlfn.IFS(I24/48&gt;=0.9,"A",I24/48&gt;=0.8,"B",I24/48&gt;=0.7,"C",I24/48&gt;=0.6,"D",TRUE,"F")</f>
        <v>F</v>
      </c>
      <c r="J25" s="3" t="str" cm="1">
        <f t="array" ref="J25">_xlfn.IFS(J24/48&gt;=0.9,"A",J24/48&gt;=0.8,"B",J24/48&gt;=0.7,"C",J24/48&gt;=0.6,"D",TRUE,"F")</f>
        <v>F</v>
      </c>
      <c r="K25" s="3" t="str" cm="1">
        <f t="array" ref="K25">_xlfn.IFS(K24/48&gt;=0.9,"A",K24/48&gt;=0.8,"B",K24/48&gt;=0.7,"C",K24/48&gt;=0.6,"D",TRUE,"F")</f>
        <v>F</v>
      </c>
      <c r="L25" s="3" t="str" cm="1">
        <f t="array" ref="L25">_xlfn.IFS(L24/48&gt;=0.9,"A",L24/48&gt;=0.8,"B",L24/48&gt;=0.7,"C",L24/48&gt;=0.6,"D",TRUE,"F")</f>
        <v>F</v>
      </c>
      <c r="M25" s="3" t="str" cm="1">
        <f t="array" ref="M25">_xlfn.IFS(M24/48&gt;=0.9,"A",M24/48&gt;=0.8,"B",M24/48&gt;=0.7,"C",M24/48&gt;=0.6,"D",TRUE,"F")</f>
        <v>F</v>
      </c>
      <c r="N25" s="27" t="str" cm="1">
        <f t="array" ref="N25">_xlfn.IFS(N24/48&gt;=0.9,"A",N24/48&gt;=0.8,"B",N24/48&gt;=0.7,"C",N24/48&gt;=0.6,"D",TRUE,"F")</f>
        <v>F</v>
      </c>
    </row>
  </sheetData>
  <mergeCells count="12">
    <mergeCell ref="D7:F7"/>
    <mergeCell ref="I7:J7"/>
    <mergeCell ref="K7:M7"/>
    <mergeCell ref="D9:N9"/>
    <mergeCell ref="D2:N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5143-2D09-412C-8687-0B6545DD3E12}">
  <dimension ref="B2:N25"/>
  <sheetViews>
    <sheetView tabSelected="1" workbookViewId="0">
      <selection activeCell="B9" sqref="B9"/>
    </sheetView>
  </sheetViews>
  <sheetFormatPr defaultRowHeight="15" x14ac:dyDescent="0.25"/>
  <cols>
    <col min="1" max="1" width="5" customWidth="1"/>
    <col min="2" max="2" width="9.140625" style="2"/>
    <col min="3" max="3" width="19.140625" style="4" customWidth="1"/>
    <col min="4" max="14" width="9.140625" style="3"/>
    <col min="15" max="15" width="4.85546875" customWidth="1"/>
  </cols>
  <sheetData>
    <row r="2" spans="2:14" ht="26.25" x14ac:dyDescent="0.25">
      <c r="C2" s="4" t="s">
        <v>38</v>
      </c>
      <c r="D2" s="7" t="s">
        <v>26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15" customHeight="1" x14ac:dyDescent="0.25"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x14ac:dyDescent="0.25">
      <c r="C4" s="4" t="s">
        <v>39</v>
      </c>
      <c r="D4" s="14">
        <v>1</v>
      </c>
      <c r="E4" s="14"/>
      <c r="F4" s="14"/>
      <c r="I4" s="1" t="s">
        <v>48</v>
      </c>
      <c r="J4" s="1"/>
      <c r="K4" s="14">
        <v>1</v>
      </c>
      <c r="L4" s="14"/>
      <c r="M4" s="14"/>
    </row>
    <row r="5" spans="2:14" ht="18.75" x14ac:dyDescent="0.25">
      <c r="C5" s="4" t="s">
        <v>40</v>
      </c>
      <c r="D5" s="16" t="s">
        <v>123</v>
      </c>
      <c r="E5" s="16"/>
      <c r="F5" s="16"/>
      <c r="G5" s="16"/>
      <c r="H5" s="16"/>
      <c r="I5" s="16"/>
      <c r="J5" s="16"/>
      <c r="K5" s="16"/>
      <c r="L5" s="16"/>
      <c r="M5" s="16"/>
    </row>
    <row r="6" spans="2:14" x14ac:dyDescent="0.25">
      <c r="C6" s="4" t="s">
        <v>41</v>
      </c>
      <c r="D6" s="1" t="s">
        <v>1</v>
      </c>
      <c r="E6" s="1"/>
      <c r="F6" s="1"/>
      <c r="I6" s="1" t="s">
        <v>42</v>
      </c>
      <c r="J6" s="1"/>
      <c r="K6" s="30" t="s">
        <v>124</v>
      </c>
      <c r="L6" s="30"/>
      <c r="M6" s="30"/>
    </row>
    <row r="7" spans="2:14" x14ac:dyDescent="0.25">
      <c r="C7" s="4" t="s">
        <v>43</v>
      </c>
      <c r="D7" s="12" t="s">
        <v>125</v>
      </c>
      <c r="E7" s="12"/>
      <c r="F7" s="12"/>
      <c r="I7" s="1" t="s">
        <v>44</v>
      </c>
      <c r="J7" s="1"/>
      <c r="K7" s="13" t="s">
        <v>126</v>
      </c>
      <c r="L7" s="13"/>
      <c r="M7" s="13"/>
    </row>
    <row r="9" spans="2:14" x14ac:dyDescent="0.25">
      <c r="D9" s="8" t="s">
        <v>23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2:14" x14ac:dyDescent="0.25">
      <c r="D10" s="3" t="s">
        <v>97</v>
      </c>
      <c r="E10" s="3" t="s">
        <v>12</v>
      </c>
      <c r="F10" s="3" t="s">
        <v>13</v>
      </c>
      <c r="G10" s="3" t="s">
        <v>14</v>
      </c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3" t="s">
        <v>22</v>
      </c>
      <c r="N10" s="3" t="s">
        <v>16</v>
      </c>
    </row>
    <row r="11" spans="2:14" ht="30" x14ac:dyDescent="0.25">
      <c r="B11" s="9" t="s">
        <v>0</v>
      </c>
      <c r="C11" s="10" t="s">
        <v>26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" t="str">
        <f>IFERROR(AVERAGEIFS(D11:M11,D11:M11,"&gt;0"),"")</f>
        <v/>
      </c>
    </row>
    <row r="12" spans="2:14" ht="30" x14ac:dyDescent="0.25">
      <c r="B12" s="9" t="s">
        <v>1</v>
      </c>
      <c r="C12" s="10" t="s">
        <v>27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" t="str">
        <f>IFERROR(AVERAGEIFS(D12:M12,D12:M12,"&gt;0"),"")</f>
        <v/>
      </c>
    </row>
    <row r="13" spans="2:14" ht="30" x14ac:dyDescent="0.25">
      <c r="B13" s="9" t="s">
        <v>2</v>
      </c>
      <c r="C13" s="10" t="s">
        <v>28</v>
      </c>
      <c r="D13" s="28">
        <v>3</v>
      </c>
      <c r="E13" s="28">
        <v>3</v>
      </c>
      <c r="F13" s="28">
        <v>3</v>
      </c>
      <c r="G13" s="28">
        <v>3</v>
      </c>
      <c r="H13" s="28">
        <v>3</v>
      </c>
      <c r="I13" s="28">
        <v>3</v>
      </c>
      <c r="J13" s="28">
        <v>3</v>
      </c>
      <c r="K13" s="28">
        <v>3</v>
      </c>
      <c r="L13" s="28">
        <v>3</v>
      </c>
      <c r="M13" s="28">
        <v>3</v>
      </c>
      <c r="N13" s="3">
        <f>IFERROR(AVERAGEIFS(D13:M13,D13:M13,"&gt;0"),"")</f>
        <v>3</v>
      </c>
    </row>
    <row r="14" spans="2:14" ht="30" x14ac:dyDescent="0.25">
      <c r="B14" s="9" t="s">
        <v>4</v>
      </c>
      <c r="C14" s="10" t="s">
        <v>29</v>
      </c>
      <c r="D14" s="15">
        <v>4</v>
      </c>
      <c r="E14" s="15">
        <v>4</v>
      </c>
      <c r="F14" s="15">
        <v>4</v>
      </c>
      <c r="G14" s="15">
        <v>4</v>
      </c>
      <c r="H14" s="15">
        <v>4</v>
      </c>
      <c r="I14" s="15">
        <v>4</v>
      </c>
      <c r="J14" s="15">
        <v>4</v>
      </c>
      <c r="K14" s="15">
        <v>4</v>
      </c>
      <c r="L14" s="15">
        <v>4</v>
      </c>
      <c r="M14" s="15">
        <v>4</v>
      </c>
      <c r="N14" s="3">
        <f>IFERROR(AVERAGEIFS(D14:M14,D14:M14,"&gt;0"),"")</f>
        <v>4</v>
      </c>
    </row>
    <row r="15" spans="2:14" ht="30" x14ac:dyDescent="0.25">
      <c r="B15" s="9" t="s">
        <v>3</v>
      </c>
      <c r="C15" s="10" t="s">
        <v>30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" t="str">
        <f>IFERROR(AVERAGEIFS(D15:M15,D15:M15,"&gt;0"),"")</f>
        <v/>
      </c>
    </row>
    <row r="16" spans="2:14" ht="45" x14ac:dyDescent="0.25">
      <c r="B16" s="9" t="s">
        <v>5</v>
      </c>
      <c r="C16" s="10" t="s">
        <v>31</v>
      </c>
      <c r="D16" s="15">
        <v>4</v>
      </c>
      <c r="E16" s="15">
        <v>4</v>
      </c>
      <c r="F16" s="15">
        <v>4</v>
      </c>
      <c r="G16" s="15">
        <v>4</v>
      </c>
      <c r="H16" s="15">
        <v>4</v>
      </c>
      <c r="I16" s="15">
        <v>4</v>
      </c>
      <c r="J16" s="15">
        <v>4</v>
      </c>
      <c r="K16" s="15">
        <v>4</v>
      </c>
      <c r="L16" s="15">
        <v>4</v>
      </c>
      <c r="M16" s="15">
        <v>4</v>
      </c>
      <c r="N16" s="3">
        <f>IFERROR(AVERAGEIFS(D16:M16,D16:M16,"&gt;0"),"")</f>
        <v>4</v>
      </c>
    </row>
    <row r="17" spans="2:14" x14ac:dyDescent="0.25">
      <c r="B17" s="9" t="s">
        <v>6</v>
      </c>
      <c r="C17" s="10" t="s">
        <v>32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" t="str">
        <f>IFERROR(AVERAGEIFS(D17:M17,D17:M17,"&gt;0"),"")</f>
        <v/>
      </c>
    </row>
    <row r="18" spans="2:14" ht="30" x14ac:dyDescent="0.25">
      <c r="B18" s="9" t="s">
        <v>7</v>
      </c>
      <c r="C18" s="10" t="s">
        <v>33</v>
      </c>
      <c r="D18" s="28">
        <v>3</v>
      </c>
      <c r="E18" s="28">
        <v>3</v>
      </c>
      <c r="F18" s="28">
        <v>3</v>
      </c>
      <c r="G18" s="28">
        <v>3</v>
      </c>
      <c r="H18" s="28">
        <v>3</v>
      </c>
      <c r="I18" s="28">
        <v>3</v>
      </c>
      <c r="J18" s="28">
        <v>3</v>
      </c>
      <c r="K18" s="28">
        <v>3</v>
      </c>
      <c r="L18" s="28">
        <v>3</v>
      </c>
      <c r="M18" s="28">
        <v>3</v>
      </c>
      <c r="N18" s="3">
        <f>IFERROR(AVERAGEIFS(D18:M18,D18:M18,"&gt;0"),"")</f>
        <v>3</v>
      </c>
    </row>
    <row r="19" spans="2:14" x14ac:dyDescent="0.25">
      <c r="B19" s="9" t="s">
        <v>8</v>
      </c>
      <c r="C19" s="10" t="s">
        <v>34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" t="str">
        <f>IFERROR(AVERAGEIFS(D19:M19,D19:M19,"&gt;0"),"")</f>
        <v/>
      </c>
    </row>
    <row r="20" spans="2:14" x14ac:dyDescent="0.25">
      <c r="B20" s="9" t="s">
        <v>9</v>
      </c>
      <c r="C20" s="10" t="s">
        <v>35</v>
      </c>
      <c r="D20" s="28">
        <v>3</v>
      </c>
      <c r="E20" s="28">
        <v>3</v>
      </c>
      <c r="F20" s="28">
        <v>3</v>
      </c>
      <c r="G20" s="28">
        <v>3</v>
      </c>
      <c r="H20" s="28">
        <v>3</v>
      </c>
      <c r="I20" s="28">
        <v>3</v>
      </c>
      <c r="J20" s="28">
        <v>3</v>
      </c>
      <c r="K20" s="28">
        <v>3</v>
      </c>
      <c r="L20" s="28">
        <v>3</v>
      </c>
      <c r="M20" s="28">
        <v>3</v>
      </c>
      <c r="N20" s="3">
        <f>IFERROR(AVERAGEIFS(D20:M20,D20:M20,"&gt;0"),"")</f>
        <v>3</v>
      </c>
    </row>
    <row r="21" spans="2:14" x14ac:dyDescent="0.25">
      <c r="B21" s="9" t="s">
        <v>10</v>
      </c>
      <c r="C21" s="10" t="s">
        <v>36</v>
      </c>
      <c r="D21" s="28">
        <v>3</v>
      </c>
      <c r="E21" s="28">
        <v>3</v>
      </c>
      <c r="F21" s="28">
        <v>3</v>
      </c>
      <c r="G21" s="28">
        <v>3</v>
      </c>
      <c r="H21" s="28">
        <v>3</v>
      </c>
      <c r="I21" s="28">
        <v>3</v>
      </c>
      <c r="J21" s="28">
        <v>3</v>
      </c>
      <c r="K21" s="28">
        <v>3</v>
      </c>
      <c r="L21" s="28">
        <v>3</v>
      </c>
      <c r="M21" s="28">
        <v>3</v>
      </c>
      <c r="N21" s="3">
        <f>IFERROR(AVERAGEIFS(D21:M21,D21:M21,"&gt;0"),"")</f>
        <v>3</v>
      </c>
    </row>
    <row r="22" spans="2:14" x14ac:dyDescent="0.25">
      <c r="B22" s="9" t="s">
        <v>11</v>
      </c>
      <c r="C22" s="10" t="s">
        <v>37</v>
      </c>
      <c r="D22" s="28">
        <v>3</v>
      </c>
      <c r="E22" s="28">
        <v>3</v>
      </c>
      <c r="F22" s="28">
        <v>3</v>
      </c>
      <c r="G22" s="28">
        <v>3</v>
      </c>
      <c r="H22" s="28">
        <v>3</v>
      </c>
      <c r="I22" s="28">
        <v>3</v>
      </c>
      <c r="J22" s="28">
        <v>3</v>
      </c>
      <c r="K22" s="28">
        <v>3</v>
      </c>
      <c r="L22" s="28">
        <v>3</v>
      </c>
      <c r="M22" s="28">
        <v>3</v>
      </c>
      <c r="N22" s="3">
        <f>IFERROR(AVERAGEIFS(D22:M22,D22:M22,"&gt;0"),"")</f>
        <v>3</v>
      </c>
    </row>
    <row r="24" spans="2:14" x14ac:dyDescent="0.25">
      <c r="B24" s="3" t="s">
        <v>15</v>
      </c>
      <c r="D24" s="3">
        <f>SUM(D11:D22)</f>
        <v>23</v>
      </c>
      <c r="E24" s="3">
        <f>SUM(E11:E23)</f>
        <v>23</v>
      </c>
      <c r="F24" s="3">
        <f>SUM(F11:F22)</f>
        <v>23</v>
      </c>
      <c r="G24" s="3">
        <f>SUM(G11:G22)</f>
        <v>23</v>
      </c>
      <c r="H24" s="3">
        <f>SUM(H11:H22)</f>
        <v>23</v>
      </c>
      <c r="I24" s="3">
        <f>SUM(I11:I22)</f>
        <v>23</v>
      </c>
      <c r="J24" s="3">
        <f>SUM(J11:J22)</f>
        <v>23</v>
      </c>
      <c r="K24" s="3">
        <f>SUM(K11:K22)</f>
        <v>23</v>
      </c>
      <c r="L24" s="3">
        <f>SUM(L11:L22)</f>
        <v>23</v>
      </c>
      <c r="M24" s="3">
        <f>SUM(M11:M22)</f>
        <v>23</v>
      </c>
      <c r="N24" s="27">
        <f>SUM(N11:N22)</f>
        <v>23</v>
      </c>
    </row>
    <row r="25" spans="2:14" x14ac:dyDescent="0.25">
      <c r="B25" s="3" t="s">
        <v>25</v>
      </c>
      <c r="D25" s="3" t="str" cm="1">
        <f t="array" ref="D25">_xlfn.IFS(D24/48&gt;=0.9,"A",D24/48&gt;=0.8,"B",D24/48&gt;=0.7,"C",D24/48&gt;=0.6,"D",TRUE,"F")</f>
        <v>F</v>
      </c>
      <c r="E25" s="3" t="str" cm="1">
        <f t="array" ref="E25">_xlfn.IFS(E24/48&gt;=0.9,"A",E24/48&gt;=0.8,"B",E24/48&gt;=0.7,"C",E24/48&gt;=0.6,"D",TRUE,"F")</f>
        <v>F</v>
      </c>
      <c r="F25" s="3" t="str" cm="1">
        <f t="array" ref="F25">_xlfn.IFS(F24/48&gt;=0.9,"A",F24/48&gt;=0.8,"B",F24/48&gt;=0.7,"C",F24/48&gt;=0.6,"D",TRUE,"F")</f>
        <v>F</v>
      </c>
      <c r="G25" s="3" t="str" cm="1">
        <f t="array" ref="G25">_xlfn.IFS(G24/48&gt;=0.9,"A",G24/48&gt;=0.8,"B",G24/48&gt;=0.7,"C",G24/48&gt;=0.6,"D",TRUE,"F")</f>
        <v>F</v>
      </c>
      <c r="H25" s="3" t="str" cm="1">
        <f t="array" ref="H25">_xlfn.IFS(H24/48&gt;=0.9,"A",H24/48&gt;=0.8,"B",H24/48&gt;=0.7,"C",H24/48&gt;=0.6,"D",TRUE,"F")</f>
        <v>F</v>
      </c>
      <c r="I25" s="3" t="str" cm="1">
        <f t="array" ref="I25">_xlfn.IFS(I24/48&gt;=0.9,"A",I24/48&gt;=0.8,"B",I24/48&gt;=0.7,"C",I24/48&gt;=0.6,"D",TRUE,"F")</f>
        <v>F</v>
      </c>
      <c r="J25" s="3" t="str" cm="1">
        <f t="array" ref="J25">_xlfn.IFS(J24/48&gt;=0.9,"A",J24/48&gt;=0.8,"B",J24/48&gt;=0.7,"C",J24/48&gt;=0.6,"D",TRUE,"F")</f>
        <v>F</v>
      </c>
      <c r="K25" s="3" t="str" cm="1">
        <f t="array" ref="K25">_xlfn.IFS(K24/48&gt;=0.9,"A",K24/48&gt;=0.8,"B",K24/48&gt;=0.7,"C",K24/48&gt;=0.6,"D",TRUE,"F")</f>
        <v>F</v>
      </c>
      <c r="L25" s="3" t="str" cm="1">
        <f t="array" ref="L25">_xlfn.IFS(L24/48&gt;=0.9,"A",L24/48&gt;=0.8,"B",L24/48&gt;=0.7,"C",L24/48&gt;=0.6,"D",TRUE,"F")</f>
        <v>F</v>
      </c>
      <c r="M25" s="3" t="str" cm="1">
        <f t="array" ref="M25">_xlfn.IFS(M24/48&gt;=0.9,"A",M24/48&gt;=0.8,"B",M24/48&gt;=0.7,"C",M24/48&gt;=0.6,"D",TRUE,"F")</f>
        <v>F</v>
      </c>
      <c r="N25" s="27" t="str" cm="1">
        <f t="array" ref="N25">_xlfn.IFS(N24/48&gt;=0.9,"A",N24/48&gt;=0.8,"B",N24/48&gt;=0.7,"C",N24/48&gt;=0.6,"D",TRUE,"F")</f>
        <v>F</v>
      </c>
    </row>
  </sheetData>
  <mergeCells count="12">
    <mergeCell ref="D7:F7"/>
    <mergeCell ref="I7:J7"/>
    <mergeCell ref="K7:M7"/>
    <mergeCell ref="D9:N9"/>
    <mergeCell ref="D2:N2"/>
    <mergeCell ref="D4:F4"/>
    <mergeCell ref="I4:J4"/>
    <mergeCell ref="K4:M4"/>
    <mergeCell ref="D5:M5"/>
    <mergeCell ref="D6:F6"/>
    <mergeCell ref="I6:J6"/>
    <mergeCell ref="K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Rubric</vt:lpstr>
      <vt:lpstr>Sheet1</vt:lpstr>
      <vt:lpstr>Assign-1</vt:lpstr>
      <vt:lpstr>Assign-2</vt:lpstr>
      <vt:lpstr>Assign-3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Myers</dc:creator>
  <cp:lastModifiedBy>Cash Myers</cp:lastModifiedBy>
  <dcterms:created xsi:type="dcterms:W3CDTF">2026-08-21T21:01:33Z</dcterms:created>
  <dcterms:modified xsi:type="dcterms:W3CDTF">2026-08-22T15:36:05Z</dcterms:modified>
</cp:coreProperties>
</file>